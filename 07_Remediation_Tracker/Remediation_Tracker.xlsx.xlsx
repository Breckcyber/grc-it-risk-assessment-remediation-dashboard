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a7a360b2b643f7" /></Relationships>
</file>

<file path=xl/workbook.xml><?xml version="1.0" encoding="utf-8"?>
<x:workbook xmlns:x="http://schemas.openxmlformats.org/spreadsheetml/2006/main">
  <x:sheets>
    <x:sheet xmlns:r="http://schemas.openxmlformats.org/officeDocument/2006/relationships" name="Remediation_Dashboard" sheetId="1" r:id="R123d6cb0fe1f4eec"/>
    <x:sheet xmlns:r="http://schemas.openxmlformats.org/officeDocument/2006/relationships" name="Remediation_Tracker" sheetId="2" r:id="R82827b105a3345e3"/>
    <x:sheet xmlns:r="http://schemas.openxmlformats.org/officeDocument/2006/relationships" name="Closure_Validation" sheetId="3" r:id="Rb9f3ba80bade4d63"/>
    <x:sheet xmlns:r="http://schemas.openxmlformats.org/officeDocument/2006/relationships" name="Field_Guide" sheetId="4" r:id="R8081b2f8ccf24f20"/>
    <x:sheet xmlns:r="http://schemas.openxmlformats.org/officeDocument/2006/relationships" name="Portfolio_Notice" sheetId="5" r:id="Rb184a62ac80f46a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4"/>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5B9BD5"/>
      </x:patternFill>
    </x:fill>
    <x:fill>
      <x:patternFill patternType="solid">
        <x:fgColor rgb="FFD9EAF7"/>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200" fontId="0" fillId="0" borderId="7" xfId="0" applyNumberFormat="1" applyFont="1" applyFill="1" applyBorder="1"/>
    <x:xf numFmtId="200" fontId="0" fillId="0" borderId="13" xfId="0" applyNumberFormat="1" applyFont="1" applyFill="1" applyBorder="1"/>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5"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2" fillId="3" borderId="18" xfId="0" applyNumberFormat="1" applyFont="1" applyFill="1" applyBorder="1" applyAlignment="1">
      <x:alignment horizontal="center" vertical="center" wrapText="1"/>
    </x:xf>
    <x:xf numFmtId="0" fontId="0" fillId="0" borderId="19" xfId="0" applyNumberFormat="1" applyFont="1" applyFill="1" applyBorder="1"/>
    <x:xf numFmtId="0" fontId="0" fillId="0" borderId="20" xfId="0" applyNumberFormat="1" applyFont="1" applyFill="1" applyBorder="1"/>
    <x:xf numFmtId="0" fontId="2" fillId="3" borderId="21" xfId="0" applyNumberFormat="1" applyFont="1" applyFill="1" applyBorder="1" applyAlignment="1">
      <x:alignment horizontal="center" vertical="center" wrapText="1"/>
    </x:xf>
    <x:xf numFmtId="0" fontId="0" fillId="0" borderId="22" xfId="0" applyNumberFormat="1" applyFont="1" applyFill="1" applyBorder="1"/>
    <x:xf numFmtId="0" fontId="0" fillId="0" borderId="23" xfId="0" applyNumberFormat="1" applyFont="1" applyFill="1" applyBorder="1"/>
  </x:cellXfs>
  <x:cellStyles count="1">
    <x:cellStyle name="Normal" xfId="0"/>
  </x:cellStyles>
  <x:dxfs count="6">
    <x:dxf>
      <x:font>
        <x:b/>
        <x:color rgb="FFC00000"/>
      </x:font>
      <x:fill>
        <x:patternFill patternType="solid">
          <x:bgColor rgb="FFF4B084"/>
        </x:patternFill>
      </x:fill>
    </x:dxf>
    <x:dxf>
      <x:fill>
        <x:patternFill patternType="solid">
          <x:bgColor rgb="FFFFE699"/>
        </x:patternFill>
      </x:fill>
    </x:dxf>
    <x:dxf>
      <x:fill>
        <x:patternFill patternType="solid">
          <x:bgColor rgb="FFC6E0B4"/>
        </x:patternFill>
      </x:fill>
    </x:dxf>
    <x:dxf>
      <x:fill>
        <x:patternFill patternType="solid">
          <x:bgColor rgb="FFFFE699"/>
        </x:patternFill>
      </x:fill>
    </x:dxf>
    <x:dxf>
      <x:fill>
        <x:patternFill patternType="solid">
          <x:bgColor rgb="FFF4B084"/>
        </x:patternFill>
      </x:fill>
    </x:dxf>
    <x:dxf>
      <x:font>
        <x:b/>
      </x:font>
      <x:fill>
        <x:patternFill patternType="solid">
          <x:bgColor rgb="FFF4B08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1c11f2bcac4274" /><Relationship Type="http://schemas.openxmlformats.org/officeDocument/2006/relationships/theme" Target="/xl/theme/theme1.xml" Id="Rd4f597f7a7a34914" /><Relationship Type="http://schemas.openxmlformats.org/officeDocument/2006/relationships/sharedStrings" Target="/xl/sharedStrings.xml" Id="Rd3d44fe8221c4b2f" /><Relationship Type="http://schemas.openxmlformats.org/officeDocument/2006/relationships/worksheet" Target="/xl/worksheets/sheet1.xml" Id="R123d6cb0fe1f4eec" /><Relationship Type="http://schemas.openxmlformats.org/officeDocument/2006/relationships/worksheet" Target="/xl/worksheets/sheet2.xml" Id="R82827b105a3345e3" /><Relationship Type="http://schemas.openxmlformats.org/officeDocument/2006/relationships/worksheet" Target="/xl/worksheets/sheet3.xml" Id="Rb9f3ba80bade4d63" /><Relationship Type="http://schemas.openxmlformats.org/officeDocument/2006/relationships/worksheet" Target="/xl/worksheets/sheet4.xml" Id="R8081b2f8ccf24f20" /><Relationship Type="http://schemas.openxmlformats.org/officeDocument/2006/relationships/worksheet" Target="/xl/worksheets/sheet5.xml" Id="Rb184a62ac80f46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4" hidden="0" customWidth="1"/>
    <x:col min="3" max="3" width="5" hidden="0" customWidth="1"/>
    <x:col min="4" max="4" width="18" hidden="0" customWidth="1"/>
    <x:col min="5" max="5" width="12" hidden="0" customWidth="1"/>
    <x:col min="6" max="6" width="34" hidden="0" customWidth="1"/>
    <x:col min="7" max="7" width="14" hidden="0" customWidth="1"/>
    <x:col min="8" max="8" width="14" hidden="0" customWidth="1"/>
    <x:col min="9" max="9" width="14" hidden="0" customWidth="1"/>
    <x:col min="10" max="10" width="14" hidden="0" customWidth="1"/>
  </x:cols>
  <x:sheetData>
    <x:row r="1" ht="30" customHeight="1">
      <x:c r="A1" s="4" t="str">
        <x:v>Remediation Program Dashboard</x:v>
      </x:c>
      <x:c r="B1" s="4"/>
      <x:c r="C1" s="4"/>
      <x:c r="D1" s="4"/>
      <x:c r="E1" s="4"/>
      <x:c r="F1" s="4"/>
      <x:c r="G1" s="4"/>
      <x:c r="H1" s="4"/>
      <x:c r="I1" s="4"/>
      <x:c r="J1" s="4"/>
    </x:row>
    <x:row r="3">
      <x:c r="A3" s="18" t="str">
        <x:v>Metric</x:v>
      </x:c>
      <x:c r="B3" s="19" t="str">
        <x:v>Value</x:v>
      </x:c>
      <x:c r="D3" s="18" t="str">
        <x:v>Status</x:v>
      </x:c>
      <x:c r="E3" s="32" t="str">
        <x:v>Count</x:v>
      </x:c>
      <x:c r="F3" s="19" t="str">
        <x:v>Management Meaning</x:v>
      </x:c>
    </x:row>
    <x:row r="4">
      <x:c r="A4" s="20" t="str">
        <x:v>Total findings</x:v>
      </x:c>
      <x:c r="B4" s="21" t="n">
        <x:v>15</x:v>
      </x:c>
      <x:c r="D4" s="20" t="str">
        <x:v>Not Started</x:v>
      </x:c>
      <x:c r="E4" s="33" t="n">
        <x:v>2</x:v>
      </x:c>
      <x:c r="F4" s="21" t="str">
        <x:v>Action owner has not begun work</x:v>
      </x:c>
    </x:row>
    <x:row r="5">
      <x:c r="A5" s="20" t="str">
        <x:v>High severity</x:v>
      </x:c>
      <x:c r="B5" s="21" t="n">
        <x:v>11</x:v>
      </x:c>
      <x:c r="D5" s="20" t="str">
        <x:v>In Progress</x:v>
      </x:c>
      <x:c r="E5" s="33" t="n">
        <x:v>11</x:v>
      </x:c>
      <x:c r="F5" s="21" t="str">
        <x:v>Remediation activity is underway</x:v>
      </x:c>
    </x:row>
    <x:row r="6">
      <x:c r="A6" s="20" t="str">
        <x:v>Medium severity</x:v>
      </x:c>
      <x:c r="B6" s="21" t="n">
        <x:v>4</x:v>
      </x:c>
      <x:c r="D6" s="20" t="str">
        <x:v>Completed</x:v>
      </x:c>
      <x:c r="E6" s="33" t="n">
        <x:v>2</x:v>
      </x:c>
      <x:c r="F6" s="21" t="str">
        <x:v>Owner reports action complete</x:v>
      </x:c>
    </x:row>
    <x:row r="7">
      <x:c r="A7" s="20" t="str">
        <x:v>Completed actions</x:v>
      </x:c>
      <x:c r="B7" s="21" t="n">
        <x:v>2</x:v>
      </x:c>
      <x:c r="D7" s="22" t="str">
        <x:v>Ready for Validation</x:v>
      </x:c>
      <x:c r="E7" s="34" t="n">
        <x:v>2</x:v>
      </x:c>
      <x:c r="F7" s="23" t="str">
        <x:v>Evidence requires independent review</x:v>
      </x:c>
    </x:row>
    <x:row r="8">
      <x:c r="A8" s="22" t="str">
        <x:v>Average progress</x:v>
      </x:c>
      <x:c r="B8" s="30" t="n">
        <x:f>AVERAGE(Remediation_Tracker!L4:L18)</x:f>
        <x:v>0.35666666666666663</x:v>
      </x:c>
    </x:row>
    <x:row r="10">
      <x:c r="A10" s="38" t="str">
        <x:v>Management Attention</x:v>
      </x:c>
      <x:c r="B10" s="38"/>
      <x:c r="C10" s="38"/>
      <x:c r="D10" s="38"/>
      <x:c r="E10" s="38"/>
      <x:c r="F10" s="38"/>
      <x:c r="G10" s="38"/>
      <x:c r="H10" s="38"/>
      <x:c r="I10" s="38"/>
      <x:c r="J10" s="38"/>
    </x:row>
    <x:row r="11">
      <x:c r="A11" s="43" t="str">
        <x:v>Priority should remain on high-severity findings affecting identity and access management, backup restoration, third-party risk, endpoint security, and business continuity. Actions should not be treated as closed until supporting evidence has been reviewed and the affected control has been retested.</x:v>
      </x:c>
      <x:c r="B11" s="44"/>
      <x:c r="C11" s="44"/>
      <x:c r="D11" s="44"/>
      <x:c r="E11" s="44"/>
      <x:c r="F11" s="44"/>
      <x:c r="G11" s="44"/>
      <x:c r="H11" s="44"/>
      <x:c r="I11" s="44"/>
      <x:c r="J11" s="45"/>
    </x:row>
    <x:row r="12">
      <x:c r="A12" s="46"/>
      <x:c r="B12" s="41"/>
      <x:c r="C12" s="41"/>
      <x:c r="D12" s="41"/>
      <x:c r="E12" s="41"/>
      <x:c r="F12" s="41"/>
      <x:c r="G12" s="41"/>
      <x:c r="H12" s="41"/>
      <x:c r="I12" s="41"/>
      <x:c r="J12" s="47"/>
    </x:row>
    <x:row r="13">
      <x:c r="A13" s="46"/>
      <x:c r="B13" s="41"/>
      <x:c r="C13" s="41"/>
      <x:c r="D13" s="41"/>
      <x:c r="E13" s="41"/>
      <x:c r="F13" s="41"/>
      <x:c r="G13" s="41"/>
      <x:c r="H13" s="41"/>
      <x:c r="I13" s="41"/>
      <x:c r="J13" s="47"/>
    </x:row>
    <x:row r="14">
      <x:c r="A14" s="48"/>
      <x:c r="B14" s="49"/>
      <x:c r="C14" s="49"/>
      <x:c r="D14" s="49"/>
      <x:c r="E14" s="49"/>
      <x:c r="F14" s="49"/>
      <x:c r="G14" s="49"/>
      <x:c r="H14" s="49"/>
      <x:c r="I14" s="49"/>
      <x:c r="J14" s="50"/>
    </x:row>
  </x:sheetData>
  <x:mergeCells>
    <x:mergeCell ref="A1:J1"/>
    <x:mergeCell ref="A10:J10"/>
    <x:mergeCell ref="A11:J14"/>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1" hidden="0" customWidth="1"/>
    <x:col min="3" max="3" width="9" hidden="0" customWidth="1"/>
    <x:col min="4" max="4" width="11" hidden="0" customWidth="1"/>
    <x:col min="5" max="5" width="52" hidden="0" customWidth="1"/>
    <x:col min="6" max="6" width="12" hidden="0" customWidth="1"/>
    <x:col min="7" max="7" width="42" hidden="0" customWidth="1"/>
    <x:col min="8" max="8" width="48" hidden="0" customWidth="1"/>
    <x:col min="9" max="9" width="24" hidden="0" customWidth="1"/>
    <x:col min="10" max="10" width="14" hidden="0" customWidth="1"/>
    <x:col min="11" max="11" width="16" hidden="0" customWidth="1"/>
    <x:col min="12" max="12" width="12" hidden="0" customWidth="1"/>
    <x:col min="13" max="13" width="46" hidden="0" customWidth="1"/>
    <x:col min="14" max="14" width="18" hidden="0" customWidth="1"/>
    <x:col min="15" max="15" width="16" hidden="0" customWidth="1"/>
    <x:col min="16" max="16" width="34" hidden="0" customWidth="1"/>
    <x:col min="17" max="17" width="20" hidden="0" customWidth="1"/>
    <x:col min="18" max="18" width="12" hidden="0" customWidth="1"/>
  </x:cols>
  <x:sheetData>
    <x:row r="1" ht="30" customHeight="1">
      <x:c r="A1" s="4" t="str">
        <x:v>Deliverable 7: Remediation Tracker</x:v>
      </x:c>
      <x:c r="B1" s="4"/>
      <x:c r="C1" s="4"/>
      <x:c r="D1" s="4"/>
      <x:c r="E1" s="4"/>
      <x:c r="F1" s="4"/>
      <x:c r="G1" s="4"/>
      <x:c r="H1" s="4"/>
      <x:c r="I1" s="4"/>
      <x:c r="J1" s="4"/>
      <x:c r="K1" s="4"/>
      <x:c r="L1" s="4"/>
      <x:c r="M1" s="4"/>
      <x:c r="N1" s="4"/>
      <x:c r="O1" s="4"/>
      <x:c r="P1" s="4"/>
      <x:c r="Q1" s="4"/>
    </x:row>
    <x:row r="3">
      <x:c r="A3" s="18" t="str">
        <x:v>Finding ID</x:v>
      </x:c>
      <x:c r="B3" s="32" t="str">
        <x:v>Test ID</x:v>
      </x:c>
      <x:c r="C3" s="32" t="str">
        <x:v>Risk ID</x:v>
      </x:c>
      <x:c r="D3" s="32" t="str">
        <x:v>Control ID</x:v>
      </x:c>
      <x:c r="E3" s="32" t="str">
        <x:v>Finding Summary</x:v>
      </x:c>
      <x:c r="F3" s="32" t="str">
        <x:v>Severity</x:v>
      </x:c>
      <x:c r="G3" s="32" t="str">
        <x:v>Root Cause</x:v>
      </x:c>
      <x:c r="H3" s="32" t="str">
        <x:v>Management Action</x:v>
      </x:c>
      <x:c r="I3" s="32" t="str">
        <x:v>Action Owner</x:v>
      </x:c>
      <x:c r="J3" s="32" t="str">
        <x:v>Target Date</x:v>
      </x:c>
      <x:c r="K3" s="32" t="str">
        <x:v>Status</x:v>
      </x:c>
      <x:c r="L3" s="32" t="str">
        <x:v>Progress %</x:v>
      </x:c>
      <x:c r="M3" s="32" t="str">
        <x:v>Closure Evidence Required</x:v>
      </x:c>
      <x:c r="N3" s="32" t="str">
        <x:v>Evidence Status</x:v>
      </x:c>
      <x:c r="O3" s="32" t="str">
        <x:v>Retest Required</x:v>
      </x:c>
      <x:c r="P3" s="32" t="str">
        <x:v>Validation Notes</x:v>
      </x:c>
      <x:c r="Q3" s="19" t="str">
        <x:v>Final Disposition</x:v>
      </x:c>
      <x:c r="R3" s="67" t="str">
        <x:v>Overdue?</x:v>
      </x:c>
    </x:row>
    <x:row r="4">
      <x:c r="A4" s="46" t="str">
        <x:v>F-001</x:v>
      </x:c>
      <x:c r="B4" s="41" t="str">
        <x:v>CT-001</x:v>
      </x:c>
      <x:c r="C4" s="41" t="str">
        <x:v>R-001</x:v>
      </x:c>
      <x:c r="D4" s="41" t="str">
        <x:v>IAM-01</x:v>
      </x:c>
      <x:c r="E4" s="41" t="str">
        <x:v>Twelve active accounts were not registered for MFA. Three excluded accounts had no expiry date, and approval evidence was incomplete. No monthly exception review was available.</x:v>
      </x:c>
      <x:c r="F4" s="41" t="str">
        <x:v>High</x:v>
      </x:c>
      <x:c r="G4" s="41" t="str">
        <x:v>MFA rollout was not governed through a complete user population and formal exception process.</x:v>
      </x:c>
      <x:c r="H4" s="41" t="str">
        <x:v>Enable MFA for the affected accounts, document all exclusions, assign expiry dates, and complete a monthly exception review.</x:v>
      </x:c>
      <x:c r="I4" s="41" t="str">
        <x:v>IT Manager</x:v>
      </x:c>
      <x:c r="J4" s="59" t="n">
        <x:v>46239</x:v>
      </x:c>
      <x:c r="K4" s="41" t="str">
        <x:v>In Progress</x:v>
      </x:c>
      <x:c r="L4" s="63" t="n">
        <x:v>0.55</x:v>
      </x:c>
      <x:c r="M4" s="41" t="str">
        <x:v>Updated MFA registration report; Conditional Access export; approved exception register; monthly review sign-off.</x:v>
      </x:c>
      <x:c r="N4" s="41" t="str">
        <x:v>Pending</x:v>
      </x:c>
      <x:c r="O4" s="41" t="str">
        <x:v>Required</x:v>
      </x:c>
      <x:c r="P4" s="41" t="str"/>
      <x:c r="Q4" s="47" t="str">
        <x:v>Open</x:v>
      </x:c>
      <x:c r="R4" s="68" t="str">
        <x:f>IF(AND(J4&lt;TODAY(),K4&lt;&gt;"Completed"),"Yes","No")</x:f>
        <x:v>No</x:v>
      </x:c>
    </x:row>
    <x:row r="5">
      <x:c r="A5" s="46" t="str">
        <x:v>F-002</x:v>
      </x:c>
      <x:c r="B5" s="41" t="str">
        <x:v>CT-002</x:v>
      </x:c>
      <x:c r="C5" s="41" t="str">
        <x:v>R-002</x:v>
      </x:c>
      <x:c r="D5" s="41" t="str">
        <x:v>IAM-02</x:v>
      </x:c>
      <x:c r="E5" s="41" t="str">
        <x:v>Four accounts remained active beyond the required termination time. Two departures had no completed offboarding checklist, and the quarterly HR-to-IT reconciliation was not performed.</x:v>
      </x:c>
      <x:c r="F5" s="41" t="str">
        <x:v>High</x:v>
      </x:c>
      <x:c r="G5" s="41" t="str">
        <x:v>The offboarding process relies on email notifications and does not include a required reconciliation.</x:v>
      </x:c>
      <x:c r="H5" s="41" t="str">
        <x:v>Introduce a formal offboarding checklist, require same-day access removal, and complete a quarterly HR-to-IT reconciliation.</x:v>
      </x:c>
      <x:c r="I5" s="41" t="str">
        <x:v>IT Manager / HR Manager</x:v>
      </x:c>
      <x:c r="J5" s="59" t="n">
        <x:v>46244</x:v>
      </x:c>
      <x:c r="K5" s="41" t="str">
        <x:v>Not Started</x:v>
      </x:c>
      <x:c r="L5" s="63" t="n">
        <x:v>0</x:v>
      </x:c>
      <x:c r="M5" s="41" t="str">
        <x:v>Completed offboarding checklist; disabled-account report; HR-to-IT reconciliation; manager approval.</x:v>
      </x:c>
      <x:c r="N5" s="41" t="str">
        <x:v>Pending</x:v>
      </x:c>
      <x:c r="O5" s="41" t="str">
        <x:v>Required</x:v>
      </x:c>
      <x:c r="P5" s="41" t="str"/>
      <x:c r="Q5" s="47" t="str">
        <x:v>Open</x:v>
      </x:c>
      <x:c r="R5" s="68" t="str">
        <x:f>IF(AND(J5&lt;TODAY(),K5&lt;&gt;"Completed"),"Yes","No")</x:f>
        <x:v>No</x:v>
      </x:c>
    </x:row>
    <x:row r="6">
      <x:c r="A6" s="46" t="str">
        <x:v>F-003</x:v>
      </x:c>
      <x:c r="B6" s="41" t="str">
        <x:v>CT-003</x:v>
      </x:c>
      <x:c r="C6" s="41" t="str">
        <x:v>R-003</x:v>
      </x:c>
      <x:c r="D6" s="41" t="str">
        <x:v>IAM-03</x:v>
      </x:c>
      <x:c r="E6" s="41" t="str">
        <x:v>Role profiles were defined, but three users retained access that was broader than their current duties. The quarterly access review was completed late and did not include documented manager approval.</x:v>
      </x:c>
      <x:c r="F6" s="41" t="str">
        <x:v>Medium</x:v>
      </x:c>
      <x:c r="G6" s="41" t="str">
        <x:v>Access reviews are not consistently completed and approved within the required schedule.</x:v>
      </x:c>
      <x:c r="H6" s="41" t="str">
        <x:v>Remove unnecessary access, require manager sign-off, and complete the review within the approved quarterly schedule.</x:v>
      </x:c>
      <x:c r="I6" s="41" t="str">
        <x:v>Clinic Manager / IT Manager</x:v>
      </x:c>
      <x:c r="J6" s="59" t="n">
        <x:v>46249</x:v>
      </x:c>
      <x:c r="K6" s="41" t="str">
        <x:v>In Progress</x:v>
      </x:c>
      <x:c r="L6" s="63" t="n">
        <x:v>0.4</x:v>
      </x:c>
      <x:c r="M6" s="41" t="str">
        <x:v>Updated access matrix; completed quarterly review; manager approvals; removed-access evidence.</x:v>
      </x:c>
      <x:c r="N6" s="41" t="str">
        <x:v>Pending</x:v>
      </x:c>
      <x:c r="O6" s="41" t="str">
        <x:v>Required</x:v>
      </x:c>
      <x:c r="P6" s="41" t="str"/>
      <x:c r="Q6" s="47" t="str">
        <x:v>Open</x:v>
      </x:c>
      <x:c r="R6" s="68" t="str">
        <x:f>IF(AND(J6&lt;TODAY(),K6&lt;&gt;"Completed"),"Yes","No")</x:f>
        <x:v>No</x:v>
      </x:c>
    </x:row>
    <x:row r="7">
      <x:c r="A7" s="46" t="str">
        <x:v>F-004</x:v>
      </x:c>
      <x:c r="B7" s="41" t="str">
        <x:v>CT-004</x:v>
      </x:c>
      <x:c r="C7" s="41" t="str">
        <x:v>R-004</x:v>
      </x:c>
      <x:c r="D7" s="41" t="str">
        <x:v>TPRM-01</x:v>
      </x:c>
      <x:c r="E7" s="41" t="str">
        <x:v>Three critical vendors had no current security assessment. Two contracts lacked clear breach-notification requirements, and annual monitoring was not documented.</x:v>
      </x:c>
      <x:c r="F7" s="41" t="str">
        <x:v>High</x:v>
      </x:c>
      <x:c r="G7" s="41" t="str">
        <x:v>Vendor onboarding and renewal activities do not use a mandatory security due-diligence workflow.</x:v>
      </x:c>
      <x:c r="H7" s="41" t="str">
        <x:v>Complete due diligence for critical vendors, update contract clauses, and establish an annual review calendar.</x:v>
      </x:c>
      <x:c r="I7" s="41" t="str">
        <x:v>Finance Manager</x:v>
      </x:c>
      <x:c r="J7" s="59" t="n">
        <x:v>46254</x:v>
      </x:c>
      <x:c r="K7" s="41" t="str">
        <x:v>In Progress</x:v>
      </x:c>
      <x:c r="L7" s="63" t="n">
        <x:v>0.25</x:v>
      </x:c>
      <x:c r="M7" s="41" t="str">
        <x:v>Completed vendor assessments; updated contracts; annual review calendar; management approval.</x:v>
      </x:c>
      <x:c r="N7" s="41" t="str">
        <x:v>Pending</x:v>
      </x:c>
      <x:c r="O7" s="41" t="str">
        <x:v>Required</x:v>
      </x:c>
      <x:c r="P7" s="41" t="str"/>
      <x:c r="Q7" s="47" t="str">
        <x:v>Open</x:v>
      </x:c>
      <x:c r="R7" s="68" t="str">
        <x:f>IF(AND(J7&lt;TODAY(),K7&lt;&gt;"Completed"),"Yes","No")</x:f>
        <x:v>No</x:v>
      </x:c>
    </x:row>
    <x:row r="8">
      <x:c r="A8" s="46" t="str">
        <x:v>F-005</x:v>
      </x:c>
      <x:c r="B8" s="41" t="str">
        <x:v>CT-005</x:v>
      </x:c>
      <x:c r="C8" s="41" t="str">
        <x:v>R-005</x:v>
      </x:c>
      <x:c r="D8" s="41" t="str">
        <x:v>BCM-01</x:v>
      </x:c>
      <x:c r="E8" s="41" t="str">
        <x:v>Daily backups completed successfully, but only one of four planned restore tests was performed. The completed test did not record recovery time or business-owner confirmation.</x:v>
      </x:c>
      <x:c r="F8" s="41" t="str">
        <x:v>High</x:v>
      </x:c>
      <x:c r="G8" s="41" t="str">
        <x:v>Backup monitoring focuses on successful jobs rather than demonstrated restoration capability.</x:v>
      </x:c>
      <x:c r="H8" s="41" t="str">
        <x:v>Complete quarterly restore testing, record recovery results, and obtain business-owner confirmation for each critical system.</x:v>
      </x:c>
      <x:c r="I8" s="41" t="str">
        <x:v>IT Manager</x:v>
      </x:c>
      <x:c r="J8" s="59" t="n">
        <x:v>46259</x:v>
      </x:c>
      <x:c r="K8" s="41" t="str">
        <x:v>Not Started</x:v>
      </x:c>
      <x:c r="L8" s="63" t="n">
        <x:v>0</x:v>
      </x:c>
      <x:c r="M8" s="41" t="str">
        <x:v>Completed restore-test records; recovery-time results; business-owner confirmation; issue closure evidence.</x:v>
      </x:c>
      <x:c r="N8" s="41" t="str">
        <x:v>Pending</x:v>
      </x:c>
      <x:c r="O8" s="41" t="str">
        <x:v>Required</x:v>
      </x:c>
      <x:c r="P8" s="41" t="str"/>
      <x:c r="Q8" s="47" t="str">
        <x:v>Open</x:v>
      </x:c>
      <x:c r="R8" s="68" t="str">
        <x:f>IF(AND(J8&lt;TODAY(),K8&lt;&gt;"Completed"),"Yes","No")</x:f>
        <x:v>No</x:v>
      </x:c>
    </x:row>
    <x:row r="9">
      <x:c r="A9" s="46" t="str">
        <x:v>F-006</x:v>
      </x:c>
      <x:c r="B9" s="41" t="str">
        <x:v>CT-006</x:v>
      </x:c>
      <x:c r="C9" s="41" t="str">
        <x:v>R-006</x:v>
      </x:c>
      <x:c r="D9" s="41" t="str">
        <x:v>IR-01</x:v>
      </x:c>
      <x:c r="E9" s="41" t="str">
        <x:v>The response plan was more than two years old. Contact details were outdated, and no tabletop exercise had been completed during the review period.</x:v>
      </x:c>
      <x:c r="F9" s="41" t="str">
        <x:v>High</x:v>
      </x:c>
      <x:c r="G9" s="41" t="str">
        <x:v>The incident response plan does not have an assigned annual review and exercise owner.</x:v>
      </x:c>
      <x:c r="H9" s="41" t="str">
        <x:v>Update and approve the plan, confirm current contacts, and run a documented tabletop exercise.</x:v>
      </x:c>
      <x:c r="I9" s="41" t="str">
        <x:v>IT Manager</x:v>
      </x:c>
      <x:c r="J9" s="59" t="n">
        <x:v>46264</x:v>
      </x:c>
      <x:c r="K9" s="41" t="str">
        <x:v>In Progress</x:v>
      </x:c>
      <x:c r="L9" s="63" t="n">
        <x:v>0.25</x:v>
      </x:c>
      <x:c r="M9" s="41" t="str">
        <x:v>Approved incident response plan; updated contact list; tabletop report; action log.</x:v>
      </x:c>
      <x:c r="N9" s="41" t="str">
        <x:v>Pending</x:v>
      </x:c>
      <x:c r="O9" s="41" t="str">
        <x:v>Required</x:v>
      </x:c>
      <x:c r="P9" s="41" t="str"/>
      <x:c r="Q9" s="47" t="str">
        <x:v>Open</x:v>
      </x:c>
      <x:c r="R9" s="68" t="str">
        <x:f>IF(AND(J9&lt;TODAY(),K9&lt;&gt;"Completed"),"Yes","No")</x:f>
        <x:v>No</x:v>
      </x:c>
    </x:row>
    <x:row r="10">
      <x:c r="A10" s="46" t="str">
        <x:v>F-007</x:v>
      </x:c>
      <x:c r="B10" s="41" t="str">
        <x:v>CT-007</x:v>
      </x:c>
      <x:c r="C10" s="41" t="str">
        <x:v>R-007</x:v>
      </x:c>
      <x:c r="D10" s="41" t="str">
        <x:v>AT-01</x:v>
      </x:c>
      <x:c r="E10" s="41" t="str">
        <x:v>Training completion was 91%. Thirteen workers were overdue, including four contractors. Escalation records were inconsistent.</x:v>
      </x:c>
      <x:c r="F10" s="41" t="str">
        <x:v>Medium</x:v>
      </x:c>
      <x:c r="G10" s="41" t="str">
        <x:v>Training administration does not fully include contractors or consistent escalation for overdue users.</x:v>
      </x:c>
      <x:c r="H10" s="41" t="str">
        <x:v>Close overdue training, include contractors in automated reminders, and document escalation to managers.</x:v>
      </x:c>
      <x:c r="I10" s="41" t="str">
        <x:v>HR Manager / IT Manager</x:v>
      </x:c>
      <x:c r="J10" s="59" t="n">
        <x:v>46269</x:v>
      </x:c>
      <x:c r="K10" s="41" t="str">
        <x:v>In Progress</x:v>
      </x:c>
      <x:c r="L10" s="63" t="n">
        <x:v>0.4</x:v>
      </x:c>
      <x:c r="M10" s="41" t="str">
        <x:v>Updated completion report; contractor coverage; escalation records; manager follow-up.</x:v>
      </x:c>
      <x:c r="N10" s="41" t="str">
        <x:v>Pending</x:v>
      </x:c>
      <x:c r="O10" s="41" t="str">
        <x:v>Required</x:v>
      </x:c>
      <x:c r="P10" s="41" t="str"/>
      <x:c r="Q10" s="47" t="str">
        <x:v>Open</x:v>
      </x:c>
      <x:c r="R10" s="68" t="str">
        <x:f>IF(AND(J10&lt;TODAY(),K10&lt;&gt;"Completed"),"Yes","No")</x:f>
        <x:v>No</x:v>
      </x:c>
    </x:row>
    <x:row r="11">
      <x:c r="A11" s="46" t="str">
        <x:v>F-008</x:v>
      </x:c>
      <x:c r="B11" s="41" t="str">
        <x:v>CT-008</x:v>
      </x:c>
      <x:c r="C11" s="41" t="str">
        <x:v>R-008</x:v>
      </x:c>
      <x:c r="D11" s="41" t="str">
        <x:v>IAM-04</x:v>
      </x:c>
      <x:c r="E11" s="41" t="str">
        <x:v>Five external links had no documented owner, two links allowed broad access, and no evidence of the quarterly permissions review was available.</x:v>
      </x:c>
      <x:c r="F11" s="41" t="str">
        <x:v>High</x:v>
      </x:c>
      <x:c r="G11" s="41" t="str">
        <x:v>SharePoint ownership and external-sharing reviews are decentralized and not consistently evidenced.</x:v>
      </x:c>
      <x:c r="H11" s="41" t="str">
        <x:v>Remove unnecessary links, assign site owners, restrict external sharing, and document quarterly reviews.</x:v>
      </x:c>
      <x:c r="I11" s="41" t="str">
        <x:v>Operations Manager / IT Manager</x:v>
      </x:c>
      <x:c r="J11" s="59" t="n">
        <x:v>46274</x:v>
      </x:c>
      <x:c r="K11" s="41" t="str">
        <x:v>In Progress</x:v>
      </x:c>
      <x:c r="L11" s="63" t="n">
        <x:v>0.25</x:v>
      </x:c>
      <x:c r="M11" s="41" t="str">
        <x:v>Updated permissions report; external-link review; owner confirmation; quarterly review evidence.</x:v>
      </x:c>
      <x:c r="N11" s="41" t="str">
        <x:v>Pending</x:v>
      </x:c>
      <x:c r="O11" s="41" t="str">
        <x:v>Required</x:v>
      </x:c>
      <x:c r="P11" s="41" t="str"/>
      <x:c r="Q11" s="47" t="str">
        <x:v>Open</x:v>
      </x:c>
      <x:c r="R11" s="68" t="str">
        <x:f>IF(AND(J11&lt;TODAY(),K11&lt;&gt;"Completed"),"Yes","No")</x:f>
        <x:v>No</x:v>
      </x:c>
    </x:row>
    <x:row r="12">
      <x:c r="A12" s="46" t="str">
        <x:v>F-009</x:v>
      </x:c>
      <x:c r="B12" s="41" t="str">
        <x:v>CT-009</x:v>
      </x:c>
      <x:c r="C12" s="41" t="str">
        <x:v>R-009</x:v>
      </x:c>
      <x:c r="D12" s="41" t="str">
        <x:v>VM-01</x:v>
      </x:c>
      <x:c r="E12" s="41" t="str">
        <x:v>Seven high-severity patches exceeded the approved timeline. Three overdue items had no documented exception or remediation owner.</x:v>
      </x:c>
      <x:c r="F12" s="41" t="str">
        <x:v>High</x:v>
      </x:c>
      <x:c r="G12" s="41" t="str">
        <x:v>Patch tracking does not consistently assign owners or document approved exceptions.</x:v>
      </x:c>
      <x:c r="H12" s="41" t="str">
        <x:v>Assign owners to overdue patches, document approved exceptions, and review patch status monthly.</x:v>
      </x:c>
      <x:c r="I12" s="41" t="str">
        <x:v>IT Manager</x:v>
      </x:c>
      <x:c r="J12" s="59" t="n">
        <x:v>46279</x:v>
      </x:c>
      <x:c r="K12" s="41" t="str">
        <x:v>Completed</x:v>
      </x:c>
      <x:c r="L12" s="63" t="n">
        <x:v>1</x:v>
      </x:c>
      <x:c r="M12" s="41" t="str">
        <x:v>Updated patch tracker; remediation evidence; approved exceptions; monthly review sign-off.</x:v>
      </x:c>
      <x:c r="N12" s="41" t="str">
        <x:v>Received</x:v>
      </x:c>
      <x:c r="O12" s="41" t="str">
        <x:v>Required</x:v>
      </x:c>
      <x:c r="P12" s="41" t="str"/>
      <x:c r="Q12" s="47" t="str">
        <x:v>Ready for Validation</x:v>
      </x:c>
      <x:c r="R12" s="68" t="str">
        <x:f>IF(AND(J12&lt;TODAY(),K12&lt;&gt;"Completed"),"Yes","No")</x:f>
        <x:v>No</x:v>
      </x:c>
    </x:row>
    <x:row r="13">
      <x:c r="A13" s="46" t="str">
        <x:v>F-010</x:v>
      </x:c>
      <x:c r="B13" s="41" t="str">
        <x:v>CT-010</x:v>
      </x:c>
      <x:c r="C13" s="41" t="str">
        <x:v>R-010</x:v>
      </x:c>
      <x:c r="D13" s="41" t="str">
        <x:v>DP-01</x:v>
      </x:c>
      <x:c r="E13" s="41" t="str">
        <x:v>No approved classification standard was available. Eighteen sampled documents containing sensitive information had no classification label or handling instruction.</x:v>
      </x:c>
      <x:c r="F13" s="41" t="str">
        <x:v>High</x:v>
      </x:c>
      <x:c r="G13" s="41" t="str">
        <x:v>A formal data-classification standard has not been approved or implemented.</x:v>
      </x:c>
      <x:c r="H13" s="41" t="str">
        <x:v>Approve a classification standard, define handling rules, and apply labels to priority repositories.</x:v>
      </x:c>
      <x:c r="I13" s="41" t="str">
        <x:v>Operations Manager</x:v>
      </x:c>
      <x:c r="J13" s="59" t="n">
        <x:v>46284</x:v>
      </x:c>
      <x:c r="K13" s="41" t="str">
        <x:v>In Progress</x:v>
      </x:c>
      <x:c r="L13" s="63" t="n">
        <x:v>0.25</x:v>
      </x:c>
      <x:c r="M13" s="41" t="str">
        <x:v>Approved classification standard; handling guide; sample labelled records; implementation communication.</x:v>
      </x:c>
      <x:c r="N13" s="41" t="str">
        <x:v>Pending</x:v>
      </x:c>
      <x:c r="O13" s="41" t="str">
        <x:v>Required</x:v>
      </x:c>
      <x:c r="P13" s="41" t="str"/>
      <x:c r="Q13" s="47" t="str">
        <x:v>Open</x:v>
      </x:c>
      <x:c r="R13" s="68" t="str">
        <x:f>IF(AND(J13&lt;TODAY(),K13&lt;&gt;"Completed"),"Yes","No")</x:f>
        <x:v>No</x:v>
      </x:c>
    </x:row>
    <x:row r="14">
      <x:c r="A14" s="46" t="str">
        <x:v>F-011</x:v>
      </x:c>
      <x:c r="B14" s="41" t="str">
        <x:v>CT-011</x:v>
      </x:c>
      <x:c r="C14" s="41" t="str">
        <x:v>R-011</x:v>
      </x:c>
      <x:c r="D14" s="41" t="str">
        <x:v>PAM-01</x:v>
      </x:c>
      <x:c r="E14" s="41" t="str">
        <x:v>Two administrators used their privileged accounts for routine email activity. One account had no current approval record, and the quarterly review was completed late.</x:v>
      </x:c>
      <x:c r="F14" s="41" t="str">
        <x:v>High</x:v>
      </x:c>
      <x:c r="G14" s="41" t="str">
        <x:v>Privileged-access governance does not fully enforce separate accounts and timely review.</x:v>
      </x:c>
      <x:c r="H14" s="41" t="str">
        <x:v>Require separate administrator accounts, obtain current approvals, and complete privileged-access reviews on schedule.</x:v>
      </x:c>
      <x:c r="I14" s="41" t="str">
        <x:v>IT Manager</x:v>
      </x:c>
      <x:c r="J14" s="59" t="n">
        <x:v>46289</x:v>
      </x:c>
      <x:c r="K14" s="41" t="str">
        <x:v>In Progress</x:v>
      </x:c>
      <x:c r="L14" s="63" t="n">
        <x:v>0.25</x:v>
      </x:c>
      <x:c r="M14" s="41" t="str">
        <x:v>Privileged-account inventory; approvals; separate-account evidence; completed quarterly review.</x:v>
      </x:c>
      <x:c r="N14" s="41" t="str">
        <x:v>Pending</x:v>
      </x:c>
      <x:c r="O14" s="41" t="str">
        <x:v>Required</x:v>
      </x:c>
      <x:c r="P14" s="41" t="str"/>
      <x:c r="Q14" s="47" t="str">
        <x:v>Open</x:v>
      </x:c>
      <x:c r="R14" s="68" t="str">
        <x:f>IF(AND(J14&lt;TODAY(),K14&lt;&gt;"Completed"),"Yes","No")</x:f>
        <x:v>No</x:v>
      </x:c>
    </x:row>
    <x:row r="15">
      <x:c r="A15" s="46" t="str">
        <x:v>F-012</x:v>
      </x:c>
      <x:c r="B15" s="41" t="str">
        <x:v>CT-012</x:v>
      </x:c>
      <x:c r="C15" s="41" t="str">
        <x:v>R-012</x:v>
      </x:c>
      <x:c r="D15" s="41" t="str">
        <x:v>BCM-02</x:v>
      </x:c>
      <x:c r="E15" s="41" t="str">
        <x:v>Recovery priorities were incomplete for two critical services. The plan had not been tested in the past 18 months, and lessons from the previous exercise were not tracked.</x:v>
      </x:c>
      <x:c r="F15" s="41" t="str">
        <x:v>High</x:v>
      </x:c>
      <x:c r="G15" s="41" t="str">
        <x:v>Business continuity planning is not supported by a current testing and action-tracking cycle.</x:v>
      </x:c>
      <x:c r="H15" s="41" t="str">
        <x:v>Confirm recovery priorities, run an annual exercise, and track corrective actions to closure.</x:v>
      </x:c>
      <x:c r="I15" s="41" t="str">
        <x:v>Senior Management / Operations Manager</x:v>
      </x:c>
      <x:c r="J15" s="59" t="n">
        <x:v>46294</x:v>
      </x:c>
      <x:c r="K15" s="41" t="str">
        <x:v>In Progress</x:v>
      </x:c>
      <x:c r="L15" s="63" t="n">
        <x:v>0.25</x:v>
      </x:c>
      <x:c r="M15" s="41" t="str">
        <x:v>Approved continuity plan; exercise report; recovery-priority validation; closed action log.</x:v>
      </x:c>
      <x:c r="N15" s="41" t="str">
        <x:v>Pending</x:v>
      </x:c>
      <x:c r="O15" s="41" t="str">
        <x:v>Required</x:v>
      </x:c>
      <x:c r="P15" s="41" t="str"/>
      <x:c r="Q15" s="47" t="str">
        <x:v>Open</x:v>
      </x:c>
      <x:c r="R15" s="68" t="str">
        <x:f>IF(AND(J15&lt;TODAY(),K15&lt;&gt;"Completed"),"Yes","No")</x:f>
        <x:v>No</x:v>
      </x:c>
    </x:row>
    <x:row r="16">
      <x:c r="A16" s="46" t="str">
        <x:v>F-013</x:v>
      </x:c>
      <x:c r="B16" s="41" t="str">
        <x:v>CT-013</x:v>
      </x:c>
      <x:c r="C16" s="41" t="str">
        <x:v>R-013</x:v>
      </x:c>
      <x:c r="D16" s="41" t="str">
        <x:v>END-01</x:v>
      </x:c>
      <x:c r="E16" s="41" t="str">
        <x:v>Four sampled laptops were missing current endpoint protection updates, and two devices did not show confirmed encryption status. The monthly compliance review was not signed off.</x:v>
      </x:c>
      <x:c r="F16" s="41" t="str">
        <x:v>High</x:v>
      </x:c>
      <x:c r="G16" s="41" t="str">
        <x:v>Endpoint compliance reporting is not consistently reviewed and signed off.</x:v>
      </x:c>
      <x:c r="H16" s="41" t="str">
        <x:v>Remediate non-compliant devices, confirm encryption status, and retain monthly review approval.</x:v>
      </x:c>
      <x:c r="I16" s="41" t="str">
        <x:v>IT Manager</x:v>
      </x:c>
      <x:c r="J16" s="59" t="n">
        <x:v>46299</x:v>
      </x:c>
      <x:c r="K16" s="41" t="str">
        <x:v>In Progress</x:v>
      </x:c>
      <x:c r="L16" s="63" t="n">
        <x:v>0.25</x:v>
      </x:c>
      <x:c r="M16" s="41" t="str">
        <x:v>Endpoint compliance report; encryption confirmation; remediation records; monthly approval.</x:v>
      </x:c>
      <x:c r="N16" s="41" t="str">
        <x:v>Pending</x:v>
      </x:c>
      <x:c r="O16" s="41" t="str">
        <x:v>Required</x:v>
      </x:c>
      <x:c r="P16" s="41" t="str"/>
      <x:c r="Q16" s="47" t="str">
        <x:v>Open</x:v>
      </x:c>
      <x:c r="R16" s="68" t="str">
        <x:f>IF(AND(J16&lt;TODAY(),K16&lt;&gt;"Completed"),"Yes","No")</x:f>
        <x:v>No</x:v>
      </x:c>
    </x:row>
    <x:row r="17">
      <x:c r="A17" s="46" t="str">
        <x:v>F-014</x:v>
      </x:c>
      <x:c r="B17" s="41" t="str">
        <x:v>CT-014</x:v>
      </x:c>
      <x:c r="C17" s="41" t="str">
        <x:v>R-014</x:v>
      </x:c>
      <x:c r="D17" s="41" t="str">
        <x:v>GOV-01</x:v>
      </x:c>
      <x:c r="E17" s="41" t="str">
        <x:v>The register was complete, but three treatment actions were overdue and two risk records had not been updated within the monthly review cycle. Meeting evidence showed limited discussion of overdue actions.</x:v>
      </x:c>
      <x:c r="F17" s="41" t="str">
        <x:v>Medium</x:v>
      </x:c>
      <x:c r="G17" s="41" t="str">
        <x:v>Risk review meetings do not consistently drive timely updates and escalation of overdue actions.</x:v>
      </x:c>
      <x:c r="H17" s="41" t="str">
        <x:v>Escalate overdue actions, require monthly record updates, and document leadership decisions in meeting minutes.</x:v>
      </x:c>
      <x:c r="I17" s="41" t="str">
        <x:v>Senior Management / IT Manager</x:v>
      </x:c>
      <x:c r="J17" s="59" t="n">
        <x:v>46304</x:v>
      </x:c>
      <x:c r="K17" s="41" t="str">
        <x:v>Completed</x:v>
      </x:c>
      <x:c r="L17" s="63" t="n">
        <x:v>1</x:v>
      </x:c>
      <x:c r="M17" s="41" t="str">
        <x:v>Updated risk register; meeting minutes; overdue-action escalation; risk-owner confirmation.</x:v>
      </x:c>
      <x:c r="N17" s="41" t="str">
        <x:v>Received</x:v>
      </x:c>
      <x:c r="O17" s="41" t="str">
        <x:v>Required</x:v>
      </x:c>
      <x:c r="P17" s="41" t="str"/>
      <x:c r="Q17" s="47" t="str">
        <x:v>Ready for Validation</x:v>
      </x:c>
      <x:c r="R17" s="68" t="str">
        <x:f>IF(AND(J17&lt;TODAY(),K17&lt;&gt;"Completed"),"Yes","No")</x:f>
        <x:v>No</x:v>
      </x:c>
    </x:row>
    <x:row r="18">
      <x:c r="A18" s="48" t="str">
        <x:v>F-015</x:v>
      </x:c>
      <x:c r="B18" s="49" t="str">
        <x:v>CT-015</x:v>
      </x:c>
      <x:c r="C18" s="49" t="str">
        <x:v>R-015</x:v>
      </x:c>
      <x:c r="D18" s="49" t="str">
        <x:v>ASSUR-01</x:v>
      </x:c>
      <x:c r="E18" s="49" t="str">
        <x:v>Four evidence packages were incomplete, three had no reviewer sign-off, and two were stored outside the central repository. Follow-up on missing evidence was informal.</x:v>
      </x:c>
      <x:c r="F18" s="49" t="str">
        <x:v>Medium</x:v>
      </x:c>
      <x:c r="G18" s="49" t="str">
        <x:v>Evidence collection is decentralized and lacks a standard quality-review process.</x:v>
      </x:c>
      <x:c r="H18" s="49" t="str">
        <x:v>Use a standard evidence checklist, require reviewer approval, and track missing evidence centrally.</x:v>
      </x:c>
      <x:c r="I18" s="49" t="str">
        <x:v>IT Manager / Operations Manager</x:v>
      </x:c>
      <x:c r="J18" s="60" t="n">
        <x:v>46309</x:v>
      </x:c>
      <x:c r="K18" s="49" t="str">
        <x:v>In Progress</x:v>
      </x:c>
      <x:c r="L18" s="64" t="n">
        <x:v>0.25</x:v>
      </x:c>
      <x:c r="M18" s="49" t="str">
        <x:v>Completed evidence checklist; central repository index; reviewer sign-off; missing-evidence closure.</x:v>
      </x:c>
      <x:c r="N18" s="49" t="str">
        <x:v>Pending</x:v>
      </x:c>
      <x:c r="O18" s="49" t="str">
        <x:v>Required</x:v>
      </x:c>
      <x:c r="P18" s="49" t="str"/>
      <x:c r="Q18" s="50" t="str">
        <x:v>Open</x:v>
      </x:c>
      <x:c r="R18" s="69" t="str">
        <x:f>IF(AND(J18&lt;TODAY(),K18&lt;&gt;"Completed"),"Yes","No")</x:f>
        <x:v>No</x:v>
      </x:c>
    </x:row>
  </x:sheetData>
  <x:mergeCells>
    <x:mergeCell ref="A1:Q1"/>
  </x:mergeCells>
  <x:conditionalFormatting sqref="F4:F100">
    <x:cfRule type="expression" dxfId="0" priority="1">
      <x:formula>F4="High"</x:formula>
    </x:cfRule>
    <x:cfRule type="expression" dxfId="1" priority="2">
      <x:formula>F4="Medium"</x:formula>
    </x:cfRule>
  </x:conditionalFormatting>
  <x:conditionalFormatting sqref="K4:K100">
    <x:cfRule type="expression" dxfId="2" priority="3">
      <x:formula>K4="Completed"</x:formula>
    </x:cfRule>
    <x:cfRule type="expression" dxfId="3" priority="4">
      <x:formula>K4="In Progress"</x:formula>
    </x:cfRule>
    <x:cfRule type="expression" dxfId="4" priority="5">
      <x:formula>K4="Not Started"</x:formula>
    </x:cfRule>
  </x:conditionalFormatting>
  <x:conditionalFormatting sqref="L4:L100">
    <x:cfRule type="dataBar" priority="6">
      <x:dataBar>
        <x:cfvo type="min"/>
        <x:cfvo type="max"/>
        <x:color rgb="FFA02B93"/>
      </x:dataBar>
      <x:extLst>
        <x:ext xmlns:x14="http://schemas.microsoft.com/office/spreadsheetml/2009/9/main" uri="{B025F937-C7B1-47D3-B67F-A62EFF666E3E}">
          <x14:id>{35914190-6A95-226C-0553-119D9BC54782}</x14:id>
        </x:ext>
      </x:extLst>
    </x:cfRule>
  </x:conditionalFormatting>
  <x:conditionalFormatting sqref="R4:R100">
    <x:cfRule type="expression" dxfId="5" priority="7">
      <x:formula>R4="Yes"</x:formula>
    </x:cfRule>
  </x:conditionalFormatting>
  <x:dataValidations count="4">
    <x:dataValidation type="list" sqref="K4:K100">
      <x:formula1>"Not Started,In Progress,Completed,On Hold,Risk Accepted"</x:formula1>
    </x:dataValidation>
    <x:dataValidation type="list" sqref="N4:N100">
      <x:formula1>"Pending,Partially Received,Received,Rejected"</x:formula1>
    </x:dataValidation>
    <x:dataValidation type="list" sqref="O4:O100">
      <x:formula1>"Required,Not Required,Completed"</x:formula1>
    </x:dataValidation>
    <x:dataValidation type="list" sqref="Q4:Q100">
      <x:formula1>"Open,Ready for Validation,Closed,Risk Accepted"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35914190-6A95-226C-0553-119D9BC54782}">
            <x14:dataBar gradient="1">
              <x14:cfvo type="min"/>
              <x14:cfvo type="max"/>
              <x14:fillColor rgb="FFA02B93"/>
            </x14:dataBar>
          </x14:cfRule>
          <xm:sqref>L4:L100</xm:sqref>
        </x14:conditionalFormatting>
      </x14:conditionalFormattings>
    </x:ext>
  </x:extLst>
</x:worksheet>
</file>

<file path=xl/worksheets/sheet3.xml><?xml version="1.0" encoding="utf-8"?>
<x:worksheet xmlns:x="http://schemas.openxmlformats.org/spreadsheetml/2006/main">
  <x:sheetFormatPr defaultRowHeight="15"/>
  <x:cols>
    <x:col min="1" max="1" width="11" hidden="0" customWidth="1"/>
    <x:col min="2" max="2" width="11" hidden="0" customWidth="1"/>
    <x:col min="3" max="3" width="24" hidden="0" customWidth="1"/>
    <x:col min="4" max="4" width="20" hidden="0" customWidth="1"/>
    <x:col min="5" max="5" width="18" hidden="0" customWidth="1"/>
    <x:col min="6" max="6" width="18" hidden="0" customWidth="1"/>
    <x:col min="7" max="7" width="14" hidden="0" customWidth="1"/>
    <x:col min="8" max="8" width="22" hidden="0" customWidth="1"/>
    <x:col min="9" max="9" width="14" hidden="0" customWidth="1"/>
    <x:col min="10" max="10" width="20" hidden="0" customWidth="1"/>
    <x:col min="11" max="11" width="24" hidden="0" customWidth="1"/>
    <x:col min="12" max="12" width="46" hidden="0" customWidth="1"/>
  </x:cols>
  <x:sheetData>
    <x:row r="1">
      <x:c r="A1" s="4" t="str">
        <x:v>Remediation Closure and Retest Validation</x:v>
      </x:c>
      <x:c r="B1" s="4"/>
      <x:c r="C1" s="4"/>
      <x:c r="D1" s="4"/>
      <x:c r="E1" s="4"/>
      <x:c r="F1" s="4"/>
      <x:c r="G1" s="4"/>
      <x:c r="H1" s="4"/>
      <x:c r="I1" s="4"/>
      <x:c r="J1" s="4"/>
      <x:c r="K1" s="4"/>
      <x:c r="L1" s="4"/>
    </x:row>
    <x:row r="3">
      <x:c r="A3" s="18" t="str">
        <x:v>Finding ID</x:v>
      </x:c>
      <x:c r="B3" s="32" t="str">
        <x:v>Control ID</x:v>
      </x:c>
      <x:c r="C3" s="32" t="str">
        <x:v>Action Owner</x:v>
      </x:c>
      <x:c r="D3" s="32" t="str">
        <x:v>Management Completion Date</x:v>
      </x:c>
      <x:c r="E3" s="32" t="str">
        <x:v>Evidence Received</x:v>
      </x:c>
      <x:c r="F3" s="32" t="str">
        <x:v>Evidence Reviewed</x:v>
      </x:c>
      <x:c r="G3" s="32" t="str">
        <x:v>Retest Date</x:v>
      </x:c>
      <x:c r="H3" s="32" t="str">
        <x:v>Retest Result</x:v>
      </x:c>
      <x:c r="I3" s="32" t="str">
        <x:v>Residual Risk</x:v>
      </x:c>
      <x:c r="J3" s="32" t="str">
        <x:v>Validator</x:v>
      </x:c>
      <x:c r="K3" s="32" t="str">
        <x:v>Closure Decision</x:v>
      </x:c>
      <x:c r="L3" s="19" t="str">
        <x:v>Comments</x:v>
      </x:c>
    </x:row>
    <x:row r="4">
      <x:c r="A4" s="46" t="str">
        <x:v>F-001</x:v>
      </x:c>
      <x:c r="B4" s="41" t="str">
        <x:v>IAM-01</x:v>
      </x:c>
      <x:c r="C4" s="41" t="str">
        <x:v>IT Manager</x:v>
      </x:c>
      <x:c r="D4" s="59"/>
      <x:c r="E4" s="41" t="str">
        <x:v>Pending</x:v>
      </x:c>
      <x:c r="F4" s="41" t="str">
        <x:v>No</x:v>
      </x:c>
      <x:c r="G4" s="59"/>
      <x:c r="H4" s="41" t="str">
        <x:v>Not Tested</x:v>
      </x:c>
      <x:c r="I4" s="41" t="str">
        <x:v>High</x:v>
      </x:c>
      <x:c r="J4" s="41" t="str">
        <x:v>Breck Agyekum</x:v>
      </x:c>
      <x:c r="K4" s="41" t="str">
        <x:v>Open</x:v>
      </x:c>
      <x:c r="L4" s="47" t="str">
        <x:v>Complete after remediation evidence has been reviewed and the control has been retested.</x:v>
      </x:c>
    </x:row>
    <x:row r="5">
      <x:c r="A5" s="46" t="str">
        <x:v>F-002</x:v>
      </x:c>
      <x:c r="B5" s="41" t="str">
        <x:v>IAM-02</x:v>
      </x:c>
      <x:c r="C5" s="41" t="str">
        <x:v>IT Manager / HR Manager</x:v>
      </x:c>
      <x:c r="D5" s="59"/>
      <x:c r="E5" s="41" t="str">
        <x:v>Pending</x:v>
      </x:c>
      <x:c r="F5" s="41" t="str">
        <x:v>No</x:v>
      </x:c>
      <x:c r="G5" s="59"/>
      <x:c r="H5" s="41" t="str">
        <x:v>Not Tested</x:v>
      </x:c>
      <x:c r="I5" s="41" t="str">
        <x:v>High</x:v>
      </x:c>
      <x:c r="J5" s="41" t="str">
        <x:v>Breck Agyekum</x:v>
      </x:c>
      <x:c r="K5" s="41" t="str">
        <x:v>Open</x:v>
      </x:c>
      <x:c r="L5" s="47" t="str">
        <x:v>Complete after remediation evidence has been reviewed and the control has been retested.</x:v>
      </x:c>
    </x:row>
    <x:row r="6">
      <x:c r="A6" s="46" t="str">
        <x:v>F-003</x:v>
      </x:c>
      <x:c r="B6" s="41" t="str">
        <x:v>IAM-03</x:v>
      </x:c>
      <x:c r="C6" s="41" t="str">
        <x:v>Clinic Manager / IT Manager</x:v>
      </x:c>
      <x:c r="D6" s="59"/>
      <x:c r="E6" s="41" t="str">
        <x:v>Pending</x:v>
      </x:c>
      <x:c r="F6" s="41" t="str">
        <x:v>No</x:v>
      </x:c>
      <x:c r="G6" s="59"/>
      <x:c r="H6" s="41" t="str">
        <x:v>Not Tested</x:v>
      </x:c>
      <x:c r="I6" s="41" t="str">
        <x:v>Medium</x:v>
      </x:c>
      <x:c r="J6" s="41" t="str">
        <x:v>Breck Agyekum</x:v>
      </x:c>
      <x:c r="K6" s="41" t="str">
        <x:v>Open</x:v>
      </x:c>
      <x:c r="L6" s="47" t="str">
        <x:v>Complete after remediation evidence has been reviewed and the control has been retested.</x:v>
      </x:c>
    </x:row>
    <x:row r="7">
      <x:c r="A7" s="46" t="str">
        <x:v>F-004</x:v>
      </x:c>
      <x:c r="B7" s="41" t="str">
        <x:v>TPRM-01</x:v>
      </x:c>
      <x:c r="C7" s="41" t="str">
        <x:v>Finance Manager</x:v>
      </x:c>
      <x:c r="D7" s="59"/>
      <x:c r="E7" s="41" t="str">
        <x:v>Pending</x:v>
      </x:c>
      <x:c r="F7" s="41" t="str">
        <x:v>No</x:v>
      </x:c>
      <x:c r="G7" s="59"/>
      <x:c r="H7" s="41" t="str">
        <x:v>Not Tested</x:v>
      </x:c>
      <x:c r="I7" s="41" t="str">
        <x:v>High</x:v>
      </x:c>
      <x:c r="J7" s="41" t="str">
        <x:v>Breck Agyekum</x:v>
      </x:c>
      <x:c r="K7" s="41" t="str">
        <x:v>Open</x:v>
      </x:c>
      <x:c r="L7" s="47" t="str">
        <x:v>Complete after remediation evidence has been reviewed and the control has been retested.</x:v>
      </x:c>
    </x:row>
    <x:row r="8">
      <x:c r="A8" s="46" t="str">
        <x:v>F-005</x:v>
      </x:c>
      <x:c r="B8" s="41" t="str">
        <x:v>BCM-01</x:v>
      </x:c>
      <x:c r="C8" s="41" t="str">
        <x:v>IT Manager</x:v>
      </x:c>
      <x:c r="D8" s="59"/>
      <x:c r="E8" s="41" t="str">
        <x:v>Pending</x:v>
      </x:c>
      <x:c r="F8" s="41" t="str">
        <x:v>No</x:v>
      </x:c>
      <x:c r="G8" s="59"/>
      <x:c r="H8" s="41" t="str">
        <x:v>Not Tested</x:v>
      </x:c>
      <x:c r="I8" s="41" t="str">
        <x:v>High</x:v>
      </x:c>
      <x:c r="J8" s="41" t="str">
        <x:v>Breck Agyekum</x:v>
      </x:c>
      <x:c r="K8" s="41" t="str">
        <x:v>Open</x:v>
      </x:c>
      <x:c r="L8" s="47" t="str">
        <x:v>Complete after remediation evidence has been reviewed and the control has been retested.</x:v>
      </x:c>
    </x:row>
    <x:row r="9">
      <x:c r="A9" s="46" t="str">
        <x:v>F-006</x:v>
      </x:c>
      <x:c r="B9" s="41" t="str">
        <x:v>IR-01</x:v>
      </x:c>
      <x:c r="C9" s="41" t="str">
        <x:v>IT Manager</x:v>
      </x:c>
      <x:c r="D9" s="59"/>
      <x:c r="E9" s="41" t="str">
        <x:v>Pending</x:v>
      </x:c>
      <x:c r="F9" s="41" t="str">
        <x:v>No</x:v>
      </x:c>
      <x:c r="G9" s="59"/>
      <x:c r="H9" s="41" t="str">
        <x:v>Not Tested</x:v>
      </x:c>
      <x:c r="I9" s="41" t="str">
        <x:v>High</x:v>
      </x:c>
      <x:c r="J9" s="41" t="str">
        <x:v>Breck Agyekum</x:v>
      </x:c>
      <x:c r="K9" s="41" t="str">
        <x:v>Open</x:v>
      </x:c>
      <x:c r="L9" s="47" t="str">
        <x:v>Complete after remediation evidence has been reviewed and the control has been retested.</x:v>
      </x:c>
    </x:row>
    <x:row r="10">
      <x:c r="A10" s="46" t="str">
        <x:v>F-007</x:v>
      </x:c>
      <x:c r="B10" s="41" t="str">
        <x:v>AT-01</x:v>
      </x:c>
      <x:c r="C10" s="41" t="str">
        <x:v>HR Manager / IT Manager</x:v>
      </x:c>
      <x:c r="D10" s="59"/>
      <x:c r="E10" s="41" t="str">
        <x:v>Pending</x:v>
      </x:c>
      <x:c r="F10" s="41" t="str">
        <x:v>No</x:v>
      </x:c>
      <x:c r="G10" s="59"/>
      <x:c r="H10" s="41" t="str">
        <x:v>Not Tested</x:v>
      </x:c>
      <x:c r="I10" s="41" t="str">
        <x:v>Medium</x:v>
      </x:c>
      <x:c r="J10" s="41" t="str">
        <x:v>Breck Agyekum</x:v>
      </x:c>
      <x:c r="K10" s="41" t="str">
        <x:v>Open</x:v>
      </x:c>
      <x:c r="L10" s="47" t="str">
        <x:v>Complete after remediation evidence has been reviewed and the control has been retested.</x:v>
      </x:c>
    </x:row>
    <x:row r="11">
      <x:c r="A11" s="46" t="str">
        <x:v>F-008</x:v>
      </x:c>
      <x:c r="B11" s="41" t="str">
        <x:v>IAM-04</x:v>
      </x:c>
      <x:c r="C11" s="41" t="str">
        <x:v>Operations Manager / IT Manager</x:v>
      </x:c>
      <x:c r="D11" s="59"/>
      <x:c r="E11" s="41" t="str">
        <x:v>Pending</x:v>
      </x:c>
      <x:c r="F11" s="41" t="str">
        <x:v>No</x:v>
      </x:c>
      <x:c r="G11" s="59"/>
      <x:c r="H11" s="41" t="str">
        <x:v>Not Tested</x:v>
      </x:c>
      <x:c r="I11" s="41" t="str">
        <x:v>High</x:v>
      </x:c>
      <x:c r="J11" s="41" t="str">
        <x:v>Breck Agyekum</x:v>
      </x:c>
      <x:c r="K11" s="41" t="str">
        <x:v>Open</x:v>
      </x:c>
      <x:c r="L11" s="47" t="str">
        <x:v>Complete after remediation evidence has been reviewed and the control has been retested.</x:v>
      </x:c>
    </x:row>
    <x:row r="12">
      <x:c r="A12" s="46" t="str">
        <x:v>F-009</x:v>
      </x:c>
      <x:c r="B12" s="41" t="str">
        <x:v>VM-01</x:v>
      </x:c>
      <x:c r="C12" s="41" t="str">
        <x:v>IT Manager</x:v>
      </x:c>
      <x:c r="D12" s="59"/>
      <x:c r="E12" s="41" t="str">
        <x:v>Received</x:v>
      </x:c>
      <x:c r="F12" s="41" t="str">
        <x:v>No</x:v>
      </x:c>
      <x:c r="G12" s="59"/>
      <x:c r="H12" s="41" t="str">
        <x:v>Not Tested</x:v>
      </x:c>
      <x:c r="I12" s="41" t="str">
        <x:v>High</x:v>
      </x:c>
      <x:c r="J12" s="41" t="str">
        <x:v>Breck Agyekum</x:v>
      </x:c>
      <x:c r="K12" s="41" t="str">
        <x:v>Open</x:v>
      </x:c>
      <x:c r="L12" s="47" t="str">
        <x:v>Complete after remediation evidence has been reviewed and the control has been retested.</x:v>
      </x:c>
    </x:row>
    <x:row r="13">
      <x:c r="A13" s="46" t="str">
        <x:v>F-010</x:v>
      </x:c>
      <x:c r="B13" s="41" t="str">
        <x:v>DP-01</x:v>
      </x:c>
      <x:c r="C13" s="41" t="str">
        <x:v>Operations Manager</x:v>
      </x:c>
      <x:c r="D13" s="59"/>
      <x:c r="E13" s="41" t="str">
        <x:v>Pending</x:v>
      </x:c>
      <x:c r="F13" s="41" t="str">
        <x:v>No</x:v>
      </x:c>
      <x:c r="G13" s="59"/>
      <x:c r="H13" s="41" t="str">
        <x:v>Not Tested</x:v>
      </x:c>
      <x:c r="I13" s="41" t="str">
        <x:v>High</x:v>
      </x:c>
      <x:c r="J13" s="41" t="str">
        <x:v>Breck Agyekum</x:v>
      </x:c>
      <x:c r="K13" s="41" t="str">
        <x:v>Open</x:v>
      </x:c>
      <x:c r="L13" s="47" t="str">
        <x:v>Complete after remediation evidence has been reviewed and the control has been retested.</x:v>
      </x:c>
    </x:row>
    <x:row r="14">
      <x:c r="A14" s="46" t="str">
        <x:v>F-011</x:v>
      </x:c>
      <x:c r="B14" s="41" t="str">
        <x:v>PAM-01</x:v>
      </x:c>
      <x:c r="C14" s="41" t="str">
        <x:v>IT Manager</x:v>
      </x:c>
      <x:c r="D14" s="59"/>
      <x:c r="E14" s="41" t="str">
        <x:v>Pending</x:v>
      </x:c>
      <x:c r="F14" s="41" t="str">
        <x:v>No</x:v>
      </x:c>
      <x:c r="G14" s="59"/>
      <x:c r="H14" s="41" t="str">
        <x:v>Not Tested</x:v>
      </x:c>
      <x:c r="I14" s="41" t="str">
        <x:v>High</x:v>
      </x:c>
      <x:c r="J14" s="41" t="str">
        <x:v>Breck Agyekum</x:v>
      </x:c>
      <x:c r="K14" s="41" t="str">
        <x:v>Open</x:v>
      </x:c>
      <x:c r="L14" s="47" t="str">
        <x:v>Complete after remediation evidence has been reviewed and the control has been retested.</x:v>
      </x:c>
    </x:row>
    <x:row r="15">
      <x:c r="A15" s="46" t="str">
        <x:v>F-012</x:v>
      </x:c>
      <x:c r="B15" s="41" t="str">
        <x:v>BCM-02</x:v>
      </x:c>
      <x:c r="C15" s="41" t="str">
        <x:v>Senior Management / Operations Manager</x:v>
      </x:c>
      <x:c r="D15" s="59"/>
      <x:c r="E15" s="41" t="str">
        <x:v>Pending</x:v>
      </x:c>
      <x:c r="F15" s="41" t="str">
        <x:v>No</x:v>
      </x:c>
      <x:c r="G15" s="59"/>
      <x:c r="H15" s="41" t="str">
        <x:v>Not Tested</x:v>
      </x:c>
      <x:c r="I15" s="41" t="str">
        <x:v>High</x:v>
      </x:c>
      <x:c r="J15" s="41" t="str">
        <x:v>Breck Agyekum</x:v>
      </x:c>
      <x:c r="K15" s="41" t="str">
        <x:v>Open</x:v>
      </x:c>
      <x:c r="L15" s="47" t="str">
        <x:v>Complete after remediation evidence has been reviewed and the control has been retested.</x:v>
      </x:c>
    </x:row>
    <x:row r="16">
      <x:c r="A16" s="46" t="str">
        <x:v>F-013</x:v>
      </x:c>
      <x:c r="B16" s="41" t="str">
        <x:v>END-01</x:v>
      </x:c>
      <x:c r="C16" s="41" t="str">
        <x:v>IT Manager</x:v>
      </x:c>
      <x:c r="D16" s="59"/>
      <x:c r="E16" s="41" t="str">
        <x:v>Pending</x:v>
      </x:c>
      <x:c r="F16" s="41" t="str">
        <x:v>No</x:v>
      </x:c>
      <x:c r="G16" s="59"/>
      <x:c r="H16" s="41" t="str">
        <x:v>Not Tested</x:v>
      </x:c>
      <x:c r="I16" s="41" t="str">
        <x:v>High</x:v>
      </x:c>
      <x:c r="J16" s="41" t="str">
        <x:v>Breck Agyekum</x:v>
      </x:c>
      <x:c r="K16" s="41" t="str">
        <x:v>Open</x:v>
      </x:c>
      <x:c r="L16" s="47" t="str">
        <x:v>Complete after remediation evidence has been reviewed and the control has been retested.</x:v>
      </x:c>
    </x:row>
    <x:row r="17">
      <x:c r="A17" s="46" t="str">
        <x:v>F-014</x:v>
      </x:c>
      <x:c r="B17" s="41" t="str">
        <x:v>GOV-01</x:v>
      </x:c>
      <x:c r="C17" s="41" t="str">
        <x:v>Senior Management / IT Manager</x:v>
      </x:c>
      <x:c r="D17" s="59"/>
      <x:c r="E17" s="41" t="str">
        <x:v>Received</x:v>
      </x:c>
      <x:c r="F17" s="41" t="str">
        <x:v>No</x:v>
      </x:c>
      <x:c r="G17" s="59"/>
      <x:c r="H17" s="41" t="str">
        <x:v>Not Tested</x:v>
      </x:c>
      <x:c r="I17" s="41" t="str">
        <x:v>Medium</x:v>
      </x:c>
      <x:c r="J17" s="41" t="str">
        <x:v>Breck Agyekum</x:v>
      </x:c>
      <x:c r="K17" s="41" t="str">
        <x:v>Open</x:v>
      </x:c>
      <x:c r="L17" s="47" t="str">
        <x:v>Complete after remediation evidence has been reviewed and the control has been retested.</x:v>
      </x:c>
    </x:row>
    <x:row r="18">
      <x:c r="A18" s="48" t="str">
        <x:v>F-015</x:v>
      </x:c>
      <x:c r="B18" s="49" t="str">
        <x:v>ASSUR-01</x:v>
      </x:c>
      <x:c r="C18" s="49" t="str">
        <x:v>IT Manager / Operations Manager</x:v>
      </x:c>
      <x:c r="D18" s="60"/>
      <x:c r="E18" s="49" t="str">
        <x:v>Pending</x:v>
      </x:c>
      <x:c r="F18" s="49" t="str">
        <x:v>No</x:v>
      </x:c>
      <x:c r="G18" s="60"/>
      <x:c r="H18" s="49" t="str">
        <x:v>Not Tested</x:v>
      </x:c>
      <x:c r="I18" s="49" t="str">
        <x:v>Medium</x:v>
      </x:c>
      <x:c r="J18" s="49" t="str">
        <x:v>Breck Agyekum</x:v>
      </x:c>
      <x:c r="K18" s="49" t="str">
        <x:v>Open</x:v>
      </x:c>
      <x:c r="L18" s="50" t="str">
        <x:v>Complete after remediation evidence has been reviewed and the control has been retested.</x:v>
      </x:c>
    </x:row>
  </x:sheetData>
  <x:mergeCells>
    <x:mergeCell ref="A1:L1"/>
  </x:mergeCells>
  <x:dataValidations count="5">
    <x:dataValidation type="list" sqref="E4:E100">
      <x:formula1>"Pending,Partially Received,Received,Rejected"</x:formula1>
    </x:dataValidation>
    <x:dataValidation type="list" sqref="F4:F100">
      <x:formula1>"Yes,No"</x:formula1>
    </x:dataValidation>
    <x:dataValidation type="list" sqref="H4:H100">
      <x:formula1>"Not Tested,Effective,Partially Effective,Ineffective"</x:formula1>
    </x:dataValidation>
    <x:dataValidation type="list" sqref="I4:I100">
      <x:formula1>"Low,Medium,High,Critical"</x:formula1>
    </x:dataValidation>
    <x:dataValidation type="list" sqref="K4:K100">
      <x:formula1>"Open,Closed,Risk Accepted,Further Action Required"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34" hidden="0" customWidth="1"/>
    <x:col min="3" max="3" width="42" hidden="0" customWidth="1"/>
    <x:col min="4" max="4" width="42" hidden="0" customWidth="1"/>
  </x:cols>
  <x:sheetData>
    <x:row r="1">
      <x:c r="A1" s="4" t="str">
        <x:v>Remediation Tracker Field Guide</x:v>
      </x:c>
      <x:c r="B1" s="4"/>
      <x:c r="C1" s="4"/>
      <x:c r="D1" s="4"/>
    </x:row>
    <x:row r="3">
      <x:c r="A3" s="18" t="str">
        <x:v>Field</x:v>
      </x:c>
      <x:c r="B3" s="32" t="str">
        <x:v>Purpose</x:v>
      </x:c>
      <x:c r="C3" s="32" t="str">
        <x:v>Good Practice</x:v>
      </x:c>
      <x:c r="D3" s="19" t="str">
        <x:v>Common Mistake</x:v>
      </x:c>
    </x:row>
    <x:row r="4">
      <x:c r="A4" s="46" t="str">
        <x:v>Root Cause</x:v>
      </x:c>
      <x:c r="B4" s="41" t="str">
        <x:v>Explains why the control failed.</x:v>
      </x:c>
      <x:c r="C4" s="41" t="str">
        <x:v>Describe the process or governance weakness that allowed the issue.</x:v>
      </x:c>
      <x:c r="D4" s="47" t="str">
        <x:v>Repeating the finding instead of identifying the cause.</x:v>
      </x:c>
    </x:row>
    <x:row r="5">
      <x:c r="A5" s="46" t="str">
        <x:v>Management Action</x:v>
      </x:c>
      <x:c r="B5" s="41" t="str">
        <x:v>States what management will do to address the finding.</x:v>
      </x:c>
      <x:c r="C5" s="41" t="str">
        <x:v>Use a specific action with a clear outcome.</x:v>
      </x:c>
      <x:c r="D5" s="47" t="str">
        <x:v>Using vague wording such as 'improve security'.</x:v>
      </x:c>
    </x:row>
    <x:row r="6">
      <x:c r="A6" s="46" t="str">
        <x:v>Action Owner</x:v>
      </x:c>
      <x:c r="B6" s="41" t="str">
        <x:v>Names the person accountable for delivery.</x:v>
      </x:c>
      <x:c r="C6" s="41" t="str">
        <x:v>Assign one accountable owner, even when several teams assist.</x:v>
      </x:c>
      <x:c r="D6" s="47" t="str">
        <x:v>Assigning a department with no accountable person.</x:v>
      </x:c>
    </x:row>
    <x:row r="7">
      <x:c r="A7" s="46" t="str">
        <x:v>Target Date</x:v>
      </x:c>
      <x:c r="B7" s="41" t="str">
        <x:v>Sets the agreed completion deadline.</x:v>
      </x:c>
      <x:c r="C7" s="41" t="str">
        <x:v>Base the date on risk severity and implementation effort.</x:v>
      </x:c>
      <x:c r="D7" s="47" t="str">
        <x:v>Using unrealistic dates simply to make the tracker look good.</x:v>
      </x:c>
    </x:row>
    <x:row r="8">
      <x:c r="A8" s="46" t="str">
        <x:v>Closure Evidence</x:v>
      </x:c>
      <x:c r="B8" s="41" t="str">
        <x:v>Defines what must be provided before validation.</x:v>
      </x:c>
      <x:c r="C8" s="41" t="str">
        <x:v>Request evidence that proves the action was implemented.</x:v>
      </x:c>
      <x:c r="D8" s="47" t="str">
        <x:v>Closing the issue based only on an email statement.</x:v>
      </x:c>
    </x:row>
    <x:row r="9">
      <x:c r="A9" s="46" t="str">
        <x:v>Retest</x:v>
      </x:c>
      <x:c r="B9" s="41" t="str">
        <x:v>Confirms whether the corrected control now works.</x:v>
      </x:c>
      <x:c r="C9" s="41" t="str">
        <x:v>Repeat the relevant test steps after remediation.</x:v>
      </x:c>
      <x:c r="D9" s="47" t="str">
        <x:v>Assuming implementation automatically means effectiveness.</x:v>
      </x:c>
    </x:row>
    <x:row r="10">
      <x:c r="A10" s="48" t="str">
        <x:v>Final Disposition</x:v>
      </x:c>
      <x:c r="B10" s="49" t="str">
        <x:v>Records the validated outcome.</x:v>
      </x:c>
      <x:c r="C10" s="49" t="str">
        <x:v>Close only after evidence review and successful retesting.</x:v>
      </x:c>
      <x:c r="D10" s="50" t="str">
        <x:v>Treating 'Completed' and 'Closed' as the same status.</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4" t="str">
        <x:v>Portfolio Use Notice</x:v>
      </x:c>
      <x:c r="B1" s="4"/>
      <x:c r="C1" s="4"/>
      <x:c r="D1" s="4"/>
      <x:c r="E1" s="4"/>
      <x:c r="F1" s="4"/>
    </x:row>
    <x:row r="3">
      <x:c r="A3" s="43" t="str">
        <x:v>MapleCare Health Services is fictional. The findings, remediation actions, owners, dates, progress values, evidence, and validation results in this workbook are simulated for professional portfolio demonstration. The workbook shows how findings are assigned, tracked, validated, and closed in a practical technology risk and control assurance process.</x:v>
      </x:c>
      <x:c r="B3" s="44"/>
      <x:c r="C3" s="44"/>
      <x:c r="D3" s="44"/>
      <x:c r="E3" s="44"/>
      <x:c r="F3" s="45"/>
    </x:row>
    <x:row r="4">
      <x:c r="A4" s="46"/>
      <x:c r="B4" s="41"/>
      <x:c r="C4" s="41"/>
      <x:c r="D4" s="41"/>
      <x:c r="E4" s="41"/>
      <x:c r="F4" s="47"/>
    </x:row>
    <x:row r="5">
      <x:c r="A5" s="46"/>
      <x:c r="B5" s="41"/>
      <x:c r="C5" s="41"/>
      <x:c r="D5" s="41"/>
      <x:c r="E5" s="41"/>
      <x:c r="F5" s="47"/>
    </x:row>
    <x:row r="6">
      <x:c r="A6" s="46"/>
      <x:c r="B6" s="41"/>
      <x:c r="C6" s="41"/>
      <x:c r="D6" s="41"/>
      <x:c r="E6" s="41"/>
      <x:c r="F6" s="47"/>
    </x:row>
    <x:row r="7">
      <x:c r="A7" s="46"/>
      <x:c r="B7" s="41"/>
      <x:c r="C7" s="41"/>
      <x:c r="D7" s="41"/>
      <x:c r="E7" s="41"/>
      <x:c r="F7" s="47"/>
    </x:row>
    <x:row r="8">
      <x:c r="A8" s="48"/>
      <x:c r="B8" s="49"/>
      <x:c r="C8" s="49"/>
      <x:c r="D8" s="49"/>
      <x:c r="E8" s="49"/>
      <x:c r="F8" s="50"/>
    </x:row>
  </x:sheetData>
  <x:mergeCells>
    <x:mergeCell ref="A1:F1"/>
    <x:mergeCell ref="A3:F8"/>
  </x:mergeCells>
  <x:pageMargins left="0.7" right="0.7" top="0.75" bottom="0.75" header="0.3" footer="0.3"/>
</x:worksheet>
</file>