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7c5b60c1e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_Register" sheetId="1" r:id="R65a37ae203564b84"/>
    <x:sheet xmlns:r="http://schemas.openxmlformats.org/officeDocument/2006/relationships" name="Scoring_Guide" sheetId="2" r:id="Rcf9e5f13ba8a4ff0"/>
    <x:sheet xmlns:r="http://schemas.openxmlformats.org/officeDocument/2006/relationships" name="Notes" sheetId="3" r:id="R280c6ccb65804ce2"/>
    <x:sheet xmlns:r="http://schemas.openxmlformats.org/officeDocument/2006/relationships" name="Summary" sheetId="4" r:id="R0780ef57984a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4"/>
      <x:color rgb="FFFFFFFF"/>
      <x:name val="Aptos Narrow"/>
    </x:font>
    <x:font>
      <x:b/>
      <x:sz val="11"/>
      <x:color rgb="FFFFFFFF"/>
      <x:name val="Aptos Narrow"/>
    </x:font>
    <x:font>
      <x:b/>
      <x:sz val="11"/>
      <x:color theme="1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05496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d2b4b5dbb4da0" /><Relationship Type="http://schemas.openxmlformats.org/officeDocument/2006/relationships/theme" Target="/xl/theme/theme1.xml" Id="Rfc2bf061076a4b71" /><Relationship Type="http://schemas.openxmlformats.org/officeDocument/2006/relationships/sharedStrings" Target="/xl/sharedStrings.xml" Id="Re909fc1cac6843a2" /><Relationship Type="http://schemas.openxmlformats.org/officeDocument/2006/relationships/worksheet" Target="/xl/worksheets/sheet1.xml" Id="R65a37ae203564b84" /><Relationship Type="http://schemas.openxmlformats.org/officeDocument/2006/relationships/worksheet" Target="/xl/worksheets/sheet2.xml" Id="Rcf9e5f13ba8a4ff0" /><Relationship Type="http://schemas.openxmlformats.org/officeDocument/2006/relationships/worksheet" Target="/xl/worksheets/sheet3.xml" Id="R280c6ccb65804ce2" /><Relationship Type="http://schemas.openxmlformats.org/officeDocument/2006/relationships/worksheet" Target="/xl/worksheets/sheet4.xml" Id="R0780ef57984a4b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af3f4e1c5e467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af3f4e1c5e46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RegisterTable" displayName="RiskRegisterTable" ref="A2:N17" headerRowCount="1">
  <x:tableColumns count="14">
    <x:tableColumn id="1" name="Risk ID"/>
    <x:tableColumn id="2" name="Asset / Process"/>
    <x:tableColumn id="3" name="Risk Category"/>
    <x:tableColumn id="4" name="Risk Description"/>
    <x:tableColumn id="5" name="Business Impact"/>
    <x:tableColumn id="6" name="Impact Score"/>
    <x:tableColumn id="7" name="Likelihood Score"/>
    <x:tableColumn id="8" name="Inherent Risk Score"/>
    <x:tableColumn id="9" name="Inherent Risk Rating"/>
    <x:tableColumn id="10" name="Existing Control"/>
    <x:tableColumn id="11" name="Control Gap"/>
    <x:tableColumn id="12" name="Risk Owner"/>
    <x:tableColumn id="13" name="Treatment Plan"/>
    <x:tableColumn id="14" name="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cc4f26efbe45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cbc66de24f84ac7" /></Relationships>
</file>

<file path=xl/worksheets/sheet1.xml><?xml version="1.0" encoding="utf-8"?>
<x:worksheet xmlns:x="http://schemas.openxmlformats.org/spreadsheetml/2006/main">
  <x:sheetFormatPr defaultRowHeight="15"/>
  <x:cols>
    <x:col min="2" max="4" width="18.7109375" customWidth="1"/>
    <x:col min="5" max="5" width="42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1" width="18.5703125" customWidth="1"/>
    <x:col min="12" max="12" width="24" hidden="0" customWidth="1"/>
    <x:col min="13" max="13" width="42" hidden="0" customWidth="1"/>
    <x:col min="1" max="1" width="10" hidden="0" customWidth="1"/>
    <x:col min="2" max="2" width="24" hidden="0" customWidth="1"/>
    <x:col min="3" max="3" width="20" hidden="0" customWidth="1"/>
    <x:col min="4" max="4" width="42" hidden="0" customWidth="1"/>
    <x:col min="10" max="10" width="34" hidden="0" customWidth="1"/>
    <x:col min="11" max="11" width="38" hidden="0" customWidth="1"/>
    <x:col min="14" max="14" width="14" hidden="0" customWidth="1"/>
  </x:cols>
  <x:sheetData>
    <x:row r="1" ht="28" customHeight="1">
      <x:c r="A1" s="5" t="str">
        <x:v>Deliverable 4: Risk Register - MapleCare Health Services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5" customHeight="1">
      <x:c r="A2" s="14" t="str">
        <x:v>Risk ID</x:v>
      </x:c>
      <x:c r="B2" s="14" t="str">
        <x:v>Asset / Process</x:v>
      </x:c>
      <x:c r="C2" s="14" t="str">
        <x:v>Risk Category</x:v>
      </x:c>
      <x:c r="D2" s="14" t="str">
        <x:v>Risk Description</x:v>
      </x:c>
      <x:c r="E2" s="14" t="str">
        <x:v>Business Impact</x:v>
      </x:c>
      <x:c r="F2" s="14" t="str">
        <x:v>Impact Score</x:v>
      </x:c>
      <x:c r="G2" s="14" t="str">
        <x:v>Likelihood Score</x:v>
      </x:c>
      <x:c r="H2" s="14" t="str">
        <x:v>Inherent Risk Score</x:v>
      </x:c>
      <x:c r="I2" s="14" t="str">
        <x:v>Inherent Risk Rating</x:v>
      </x:c>
      <x:c r="J2" s="14" t="str">
        <x:v>Existing Control</x:v>
      </x:c>
      <x:c r="K2" s="14" t="str">
        <x:v>Control Gap</x:v>
      </x:c>
      <x:c r="L2" s="14" t="str">
        <x:v>Risk Owner</x:v>
      </x:c>
      <x:c r="M2" s="14" t="str">
        <x:v>Treatment Plan</x:v>
      </x:c>
      <x:c r="N2" s="14" t="str">
        <x:v>Status</x:v>
      </x:c>
    </x:row>
    <x:row r="3" ht="60" customHeight="1">
      <x:c r="A3" s="24" t="str">
        <x:v>R-001</x:v>
      </x:c>
      <x:c r="B3" s="22" t="str">
        <x:v>Microsoft 365</x:v>
      </x:c>
      <x:c r="C3" s="22" t="str">
        <x:v>Access Control</x:v>
      </x:c>
      <x:c r="D3" s="22" t="str">
        <x:v>MFA is not enforced for all users, which could allow attackers to access accounts if passwords are stolen or phished.</x:v>
      </x:c>
      <x:c r="E3" s="22" t="str">
        <x:v>Unauthorized access to email, SharePoint files, internal communications, and user accounts.</x:v>
      </x:c>
      <x:c r="F3" s="24" t="n">
        <x:v>5</x:v>
      </x:c>
      <x:c r="G3" s="24" t="n">
        <x:v>4</x:v>
      </x:c>
      <x:c r="H3" s="24" t="n">
        <x:f>F3*G3</x:f>
        <x:v>20</x:v>
      </x:c>
      <x:c r="I3" s="24" t="str">
        <x:f>IF(H3&lt;=5,"Low",IF(H3&lt;=10,"Medium",IF(H3&lt;=15,"High","Critical")))</x:f>
        <x:v>Critical</x:v>
      </x:c>
      <x:c r="J3" s="22" t="str">
        <x:v>MFA is enabled for some admin accounts.</x:v>
      </x:c>
      <x:c r="K3" s="22" t="str">
        <x:v>MFA is not required for all users, and exceptions are not formally reviewed.</x:v>
      </x:c>
      <x:c r="L3" s="22" t="str">
        <x:v>IT Manager</x:v>
      </x:c>
      <x:c r="M3" s="22" t="str">
        <x:v>Enforce MFA for all users and review exceptions every month.</x:v>
      </x:c>
      <x:c r="N3" s="24" t="str">
        <x:v>Open</x:v>
      </x:c>
    </x:row>
    <x:row r="4" ht="60" customHeight="1">
      <x:c r="A4" s="24" t="str">
        <x:v>R-002</x:v>
      </x:c>
      <x:c r="B4" s="22" t="str">
        <x:v>User Access Management Process</x:v>
      </x:c>
      <x:c r="C4" s="22" t="str">
        <x:v>Access Control</x:v>
      </x:c>
      <x:c r="D4" s="22" t="str">
        <x:v>Former employees may still have access because account removal is handled manually and not always reviewed.</x:v>
      </x:c>
      <x:c r="E4" s="22" t="str">
        <x:v>Former staff could access internal systems, employee records, patient-related information, or business documents.</x:v>
      </x:c>
      <x:c r="F4" s="24" t="n">
        <x:v>5</x:v>
      </x:c>
      <x:c r="G4" s="24" t="n">
        <x:v>3</x:v>
      </x:c>
      <x:c r="H4" s="24" t="n">
        <x:f>F4*G4</x:f>
        <x:v>15</x:v>
      </x:c>
      <x:c r="I4" s="24" t="str">
        <x:f>IF(H4&lt;=5,"Low",IF(H4&lt;=10,"Medium",IF(H4&lt;=15,"High","Critical")))</x:f>
        <x:v>High</x:v>
      </x:c>
      <x:c r="J4" s="22" t="str">
        <x:v>HR sends offboarding emails to IT when an employee leaves.</x:v>
      </x:c>
      <x:c r="K4" s="22" t="str">
        <x:v>There is no formal offboarding checklist or quarterly user access review.</x:v>
      </x:c>
      <x:c r="L4" s="22" t="str">
        <x:v>IT Manager / HR Manager</x:v>
      </x:c>
      <x:c r="M4" s="22" t="str">
        <x:v>Create an offboarding checklist and perform quarterly access reviews.</x:v>
      </x:c>
      <x:c r="N4" s="24" t="str">
        <x:v>Open</x:v>
      </x:c>
    </x:row>
    <x:row r="5" ht="60" customHeight="1">
      <x:c r="A5" s="24" t="str">
        <x:v>R-003</x:v>
      </x:c>
      <x:c r="B5" s="22" t="str">
        <x:v>Patient Records System</x:v>
      </x:c>
      <x:c r="C5" s="22" t="str">
        <x:v>Data Privacy</x:v>
      </x:c>
      <x:c r="D5" s="22" t="str">
        <x:v>Users may have more access to patient records than they need for their role.</x:v>
      </x:c>
      <x:c r="E5" s="22" t="str">
        <x:v>Patient information could be viewed or changed by unauthorized users, leading to privacy, trust, and compliance concerns.</x:v>
      </x:c>
      <x:c r="F5" s="24" t="n">
        <x:v>5</x:v>
      </x:c>
      <x:c r="G5" s="24" t="n">
        <x:v>3</x:v>
      </x:c>
      <x:c r="H5" s="24" t="n">
        <x:f>F5*G5</x:f>
        <x:v>15</x:v>
      </x:c>
      <x:c r="I5" s="24" t="str">
        <x:f>IF(H5&lt;=5,"Low",IF(H5&lt;=10,"Medium",IF(H5&lt;=15,"High","Critical")))</x:f>
        <x:v>High</x:v>
      </x:c>
      <x:c r="J5" s="22" t="str">
        <x:v>Role-based access is used for clinical staff.</x:v>
      </x:c>
      <x:c r="K5" s="22" t="str">
        <x:v>Access to the patient records system is not reviewed on a regular schedule.</x:v>
      </x:c>
      <x:c r="L5" s="22" t="str">
        <x:v>Clinic Manager / IT Manager</x:v>
      </x:c>
      <x:c r="M5" s="22" t="str">
        <x:v>Review patient records system access quarterly and remove access that is no longer needed.</x:v>
      </x:c>
      <x:c r="N5" s="24" t="str">
        <x:v>Open</x:v>
      </x:c>
    </x:row>
    <x:row r="6" ht="60" customHeight="1">
      <x:c r="A6" s="24" t="str">
        <x:v>R-004</x:v>
      </x:c>
      <x:c r="B6" s="22" t="str">
        <x:v>Billing Vendor Portal</x:v>
      </x:c>
      <x:c r="C6" s="22" t="str">
        <x:v>Third-Party Risk</x:v>
      </x:c>
      <x:c r="D6" s="22" t="str">
        <x:v>Vendor security evidence may not be reviewed before onboarding or renewal.</x:v>
      </x:c>
      <x:c r="E6" s="22" t="str">
        <x:v>A weak vendor could expose billing data, disrupt payment activities, or create compliance concerns.</x:v>
      </x:c>
      <x:c r="F6" s="24" t="n">
        <x:v>4</x:v>
      </x:c>
      <x:c r="G6" s="24" t="n">
        <x:v>4</x:v>
      </x:c>
      <x:c r="H6" s="24" t="n">
        <x:f>F6*G6</x:f>
        <x:v>16</x:v>
      </x:c>
      <x:c r="I6" s="24" t="str">
        <x:f>IF(H6&lt;=5,"Low",IF(H6&lt;=10,"Medium",IF(H6&lt;=15,"High","Critical")))</x:f>
        <x:v>Critical</x:v>
      </x:c>
      <x:c r="J6" s="22" t="str">
        <x:v>Vendor contracts are reviewed before approval.</x:v>
      </x:c>
      <x:c r="K6" s="22" t="str">
        <x:v>Security evidence such as SOC 2, ISO 27001 certification, or a vendor questionnaire is not consistently requested.</x:v>
      </x:c>
      <x:c r="L6" s="22" t="str">
        <x:v>Finance Manager</x:v>
      </x:c>
      <x:c r="M6" s="22" t="str">
        <x:v>Add a vendor security review step before onboarding and renewal.</x:v>
      </x:c>
      <x:c r="N6" s="24" t="str">
        <x:v>Open</x:v>
      </x:c>
    </x:row>
    <x:row r="7" ht="60" customHeight="1">
      <x:c r="A7" s="24" t="str">
        <x:v>R-005</x:v>
      </x:c>
      <x:c r="B7" s="22" t="str">
        <x:v>Backup Process</x:v>
      </x:c>
      <x:c r="C7" s="22" t="str">
        <x:v>Business Continuity</x:v>
      </x:c>
      <x:c r="D7" s="22" t="str">
        <x:v>Backups may be configured, but restore testing is not performed regularly.</x:v>
      </x:c>
      <x:c r="E7" s="22" t="str">
        <x:v>The organization may not be able to recover patient records or business files quickly after an outage, system failure, or cyber incident.</x:v>
      </x:c>
      <x:c r="F7" s="24" t="n">
        <x:v>5</x:v>
      </x:c>
      <x:c r="G7" s="24" t="n">
        <x:v>3</x:v>
      </x:c>
      <x:c r="H7" s="24" t="n">
        <x:f>F7*G7</x:f>
        <x:v>15</x:v>
      </x:c>
      <x:c r="I7" s="24" t="str">
        <x:f>IF(H7&lt;=5,"Low",IF(H7&lt;=10,"Medium",IF(H7&lt;=15,"High","Critical")))</x:f>
        <x:v>High</x:v>
      </x:c>
      <x:c r="J7" s="22" t="str">
        <x:v>Daily backups are configured.</x:v>
      </x:c>
      <x:c r="K7" s="22" t="str">
        <x:v>Restore testing is not documented or performed on a regular schedule.</x:v>
      </x:c>
      <x:c r="L7" s="22" t="str">
        <x:v>IT Manager</x:v>
      </x:c>
      <x:c r="M7" s="22" t="str">
        <x:v>Perform quarterly restore tests and keep the test results as evidence.</x:v>
      </x:c>
      <x:c r="N7" s="24" t="str">
        <x:v>Open</x:v>
      </x:c>
    </x:row>
    <x:row r="8" ht="60" customHeight="1">
      <x:c r="A8" s="24" t="str">
        <x:v>R-006</x:v>
      </x:c>
      <x:c r="B8" s="22" t="str">
        <x:v>Incident Response Process</x:v>
      </x:c>
      <x:c r="C8" s="22" t="str">
        <x:v>Incident Response</x:v>
      </x:c>
      <x:c r="D8" s="22" t="str">
        <x:v>The incident response plan may be outdated and not tested with staff.</x:v>
      </x:c>
      <x:c r="E8" s="22" t="str">
        <x:v>Security incidents may be handled slowly or inconsistently, increasing downtime, confusion, and potential data exposure.</x:v>
      </x:c>
      <x:c r="F8" s="24" t="n">
        <x:v>4</x:v>
      </x:c>
      <x:c r="G8" s="24" t="n">
        <x:v>3</x:v>
      </x:c>
      <x:c r="H8" s="24" t="n">
        <x:f>F8*G8</x:f>
        <x:v>12</x:v>
      </x:c>
      <x:c r="I8" s="24" t="str">
        <x:f>IF(H8&lt;=5,"Low",IF(H8&lt;=10,"Medium",IF(H8&lt;=15,"High","Critical")))</x:f>
        <x:v>High</x:v>
      </x:c>
      <x:c r="J8" s="22" t="str">
        <x:v>An incident response document exists.</x:v>
      </x:c>
      <x:c r="K8" s="22" t="str">
        <x:v>The plan has not been reviewed recently and there is no evidence of tabletop testing.</x:v>
      </x:c>
      <x:c r="L8" s="22" t="str">
        <x:v>IT Manager</x:v>
      </x:c>
      <x:c r="M8" s="22" t="str">
        <x:v>Review the incident response plan and run a tabletop exercise at least once a year.</x:v>
      </x:c>
      <x:c r="N8" s="24" t="str">
        <x:v>Open</x:v>
      </x:c>
    </x:row>
    <x:row r="9" ht="60" customHeight="1">
      <x:c r="A9" s="24" t="str">
        <x:v>R-007</x:v>
      </x:c>
      <x:c r="B9" s="22" t="str">
        <x:v>Security Awareness Training Process</x:v>
      </x:c>
      <x:c r="C9" s="22" t="str">
        <x:v>Security Awareness</x:v>
      </x:c>
      <x:c r="D9" s="22" t="str">
        <x:v>Security awareness training may not be completed by all employees.</x:v>
      </x:c>
      <x:c r="E9" s="22" t="str">
        <x:v>Employees may be more likely to fall for phishing emails, mishandle sensitive data, or delay reporting suspicious activity.</x:v>
      </x:c>
      <x:c r="F9" s="24" t="n">
        <x:v>4</x:v>
      </x:c>
      <x:c r="G9" s="24" t="n">
        <x:v>3</x:v>
      </x:c>
      <x:c r="H9" s="24" t="n">
        <x:f>F9*G9</x:f>
        <x:v>12</x:v>
      </x:c>
      <x:c r="I9" s="24" t="str">
        <x:f>IF(H9&lt;=5,"Low",IF(H9&lt;=10,"Medium",IF(H9&lt;=15,"High","Critical")))</x:f>
        <x:v>High</x:v>
      </x:c>
      <x:c r="J9" s="22" t="str">
        <x:v>New employees receive basic security guidance during onboarding.</x:v>
      </x:c>
      <x:c r="K9" s="22" t="str">
        <x:v>Training completion is not tracked consistently for all staff.</x:v>
      </x:c>
      <x:c r="L9" s="22" t="str">
        <x:v>HR Manager / IT Manager</x:v>
      </x:c>
      <x:c r="M9" s="22" t="str">
        <x:v>Track training completion and require annual security awareness training for all employees.</x:v>
      </x:c>
      <x:c r="N9" s="24" t="str">
        <x:v>Open</x:v>
      </x:c>
    </x:row>
    <x:row r="10" ht="60" customHeight="1">
      <x:c r="A10" s="24" t="str">
        <x:v>R-008</x:v>
      </x:c>
      <x:c r="B10" s="22" t="str">
        <x:v>SharePoint</x:v>
      </x:c>
      <x:c r="C10" s="22" t="str">
        <x:v>Cloud/File Sharing</x:v>
      </x:c>
      <x:c r="D10" s="22" t="str">
        <x:v>SharePoint folders may be shared too broadly across teams or with external users.</x:v>
      </x:c>
      <x:c r="E10" s="22" t="str">
        <x:v>Internal documents or sensitive information could be accessed by people who do not need it.</x:v>
      </x:c>
      <x:c r="F10" s="24" t="n">
        <x:v>4</x:v>
      </x:c>
      <x:c r="G10" s="24" t="n">
        <x:v>4</x:v>
      </x:c>
      <x:c r="H10" s="24" t="n">
        <x:f>F10*G10</x:f>
        <x:v>16</x:v>
      </x:c>
      <x:c r="I10" s="24" t="str">
        <x:f>IF(H10&lt;=5,"Low",IF(H10&lt;=10,"Medium",IF(H10&lt;=15,"High","Critical")))</x:f>
        <x:v>Critical</x:v>
      </x:c>
      <x:c r="J10" s="22" t="str">
        <x:v>Departments manage their own SharePoint folders.</x:v>
      </x:c>
      <x:c r="K10" s="22" t="str">
        <x:v>There is no regular review of SharePoint permissions or external sharing settings.</x:v>
      </x:c>
      <x:c r="L10" s="22" t="str">
        <x:v>Operations Manager / IT Manager</x:v>
      </x:c>
      <x:c r="M10" s="22" t="str">
        <x:v>Review SharePoint permissions quarterly and limit external sharing where it is not needed.</x:v>
      </x:c>
      <x:c r="N10" s="24" t="str">
        <x:v>Open</x:v>
      </x:c>
    </x:row>
    <x:row r="11" ht="60" customHeight="1">
      <x:c r="A11" s="24" t="str">
        <x:v>R-009</x:v>
      </x:c>
      <x:c r="B11" s="22" t="str">
        <x:v>Patch Management Process</x:v>
      </x:c>
      <x:c r="C11" s="22" t="str">
        <x:v>Patch Management</x:v>
      </x:c>
      <x:c r="D11" s="22" t="str">
        <x:v>System and device patches may not be tracked consistently.</x:v>
      </x:c>
      <x:c r="E11" s="22" t="str">
        <x:v>Known vulnerabilities may remain open longer than expected, increasing the chance of malware or system compromise.</x:v>
      </x:c>
      <x:c r="F11" s="24" t="n">
        <x:v>4</x:v>
      </x:c>
      <x:c r="G11" s="24" t="n">
        <x:v>3</x:v>
      </x:c>
      <x:c r="H11" s="24" t="n">
        <x:f>F11*G11</x:f>
        <x:v>12</x:v>
      </x:c>
      <x:c r="I11" s="24" t="str">
        <x:f>IF(H11&lt;=5,"Low",IF(H11&lt;=10,"Medium",IF(H11&lt;=15,"High","Critical")))</x:f>
        <x:v>High</x:v>
      </x:c>
      <x:c r="J11" s="22" t="str">
        <x:v>IT applies updates when they are identified.</x:v>
      </x:c>
      <x:c r="K11" s="22" t="str">
        <x:v>There is no central patch tracker showing patch status, due dates, and exceptions.</x:v>
      </x:c>
      <x:c r="L11" s="22" t="str">
        <x:v>IT Manager</x:v>
      </x:c>
      <x:c r="M11" s="22" t="str">
        <x:v>Create a patch tracking process with clear timelines for critical and high-risk updates.</x:v>
      </x:c>
      <x:c r="N11" s="24" t="str">
        <x:v>Open</x:v>
      </x:c>
    </x:row>
    <x:row r="12" ht="60" customHeight="1">
      <x:c r="A12" s="24" t="str">
        <x:v>R-010</x:v>
      </x:c>
      <x:c r="B12" s="22" t="str">
        <x:v>Data Classification Process</x:v>
      </x:c>
      <x:c r="C12" s="22" t="str">
        <x:v>Data Privacy</x:v>
      </x:c>
      <x:c r="D12" s="22" t="str">
        <x:v>Sensitive data may not be clearly classified or labelled.</x:v>
      </x:c>
      <x:c r="E12" s="22" t="str">
        <x:v>Staff may store or share patient, employee, or financial information without the right level of protection.</x:v>
      </x:c>
      <x:c r="F12" s="24" t="n">
        <x:v>4</x:v>
      </x:c>
      <x:c r="G12" s="24" t="n">
        <x:v>3</x:v>
      </x:c>
      <x:c r="H12" s="24" t="n">
        <x:f>F12*G12</x:f>
        <x:v>12</x:v>
      </x:c>
      <x:c r="I12" s="24" t="str">
        <x:f>IF(H12&lt;=5,"Low",IF(H12&lt;=10,"Medium",IF(H12&lt;=15,"High","Critical")))</x:f>
        <x:v>High</x:v>
      </x:c>
      <x:c r="J12" s="22" t="str">
        <x:v>Some departments know which files are sensitive based on experience.</x:v>
      </x:c>
      <x:c r="K12" s="22" t="str">
        <x:v>There is no formal data classification guide or consistent labelling process.</x:v>
      </x:c>
      <x:c r="L12" s="22" t="str">
        <x:v>Operations Manager</x:v>
      </x:c>
      <x:c r="M12" s="22" t="str">
        <x:v>Create a simple data classification guide and train staff on how to handle sensitive information.</x:v>
      </x:c>
      <x:c r="N12" s="24" t="str">
        <x:v>Open</x:v>
      </x:c>
    </x:row>
    <x:row r="13" ht="60" customHeight="1">
      <x:c r="A13" s="24" t="str">
        <x:v>R-011</x:v>
      </x:c>
      <x:c r="B13" s="22" t="str">
        <x:v>Microsoft 365 Admin Accounts</x:v>
      </x:c>
      <x:c r="C13" s="22" t="str">
        <x:v>Access Control</x:v>
      </x:c>
      <x:c r="D13" s="22" t="str">
        <x:v>Admin accounts may not be reviewed separately from regular user accounts.</x:v>
      </x:c>
      <x:c r="E13" s="22" t="str">
        <x:v>Unnecessary admin access could increase the impact of account compromise or accidental system changes.</x:v>
      </x:c>
      <x:c r="F13" s="24" t="n">
        <x:v>5</x:v>
      </x:c>
      <x:c r="G13" s="24" t="n">
        <x:v>3</x:v>
      </x:c>
      <x:c r="H13" s="24" t="n">
        <x:f>F13*G13</x:f>
        <x:v>15</x:v>
      </x:c>
      <x:c r="I13" s="24" t="str">
        <x:f>IF(H13&lt;=5,"Low",IF(H13&lt;=10,"Medium",IF(H13&lt;=15,"High","Critical")))</x:f>
        <x:v>High</x:v>
      </x:c>
      <x:c r="J13" s="22" t="str">
        <x:v>Admin access is limited to IT staff.</x:v>
      </x:c>
      <x:c r="K13" s="22" t="str">
        <x:v>There is no separate periodic review of privileged accounts.</x:v>
      </x:c>
      <x:c r="L13" s="22" t="str">
        <x:v>IT Manager</x:v>
      </x:c>
      <x:c r="M13" s="22" t="str">
        <x:v>Review admin accounts quarterly and remove privileged access that is no longer needed.</x:v>
      </x:c>
      <x:c r="N13" s="24" t="str">
        <x:v>Open</x:v>
      </x:c>
    </x:row>
    <x:row r="14" ht="60" customHeight="1">
      <x:c r="A14" s="24" t="str">
        <x:v>R-012</x:v>
      </x:c>
      <x:c r="B14" s="22" t="str">
        <x:v>Business Continuity Process</x:v>
      </x:c>
      <x:c r="C14" s="22" t="str">
        <x:v>Business Continuity</x:v>
      </x:c>
      <x:c r="D14" s="22" t="str">
        <x:v>The business continuity process may not be tested regularly.</x:v>
      </x:c>
      <x:c r="E14" s="22" t="str">
        <x:v>The organization may struggle to continue patient services and internal operations during a major outage or disruption.</x:v>
      </x:c>
      <x:c r="F14" s="24" t="n">
        <x:v>5</x:v>
      </x:c>
      <x:c r="G14" s="24" t="n">
        <x:v>2</x:v>
      </x:c>
      <x:c r="H14" s="24" t="n">
        <x:f>F14*G14</x:f>
        <x:v>10</x:v>
      </x:c>
      <x:c r="I14" s="24" t="str">
        <x:f>IF(H14&lt;=5,"Low",IF(H14&lt;=10,"Medium",IF(H14&lt;=15,"High","Critical")))</x:f>
        <x:v>Medium</x:v>
      </x:c>
      <x:c r="J14" s="22" t="str">
        <x:v>A basic continuity plan exists.</x:v>
      </x:c>
      <x:c r="K14" s="22" t="str">
        <x:v>There is no recent test or documented review of recovery priorities.</x:v>
      </x:c>
      <x:c r="L14" s="22" t="str">
        <x:v>Senior Management / Operations Manager</x:v>
      </x:c>
      <x:c r="M14" s="22" t="str">
        <x:v>Review the continuity plan and test key recovery steps at least once a year.</x:v>
      </x:c>
      <x:c r="N14" s="24" t="str">
        <x:v>Open</x:v>
      </x:c>
    </x:row>
    <x:row r="15" ht="60" customHeight="1">
      <x:c r="A15" s="24" t="str">
        <x:v>R-013</x:v>
      </x:c>
      <x:c r="B15" s="22" t="str">
        <x:v>Endpoint Devices</x:v>
      </x:c>
      <x:c r="C15" s="22" t="str">
        <x:v>Endpoint Security</x:v>
      </x:c>
      <x:c r="D15" s="22" t="str">
        <x:v>Staff laptops may not all be encrypted, patched, or monitored consistently.</x:v>
      </x:c>
      <x:c r="E15" s="22" t="str">
        <x:v>Lost, stolen, or compromised devices could expose company files, email sessions, or login credentials.</x:v>
      </x:c>
      <x:c r="F15" s="24" t="n">
        <x:v>4</x:v>
      </x:c>
      <x:c r="G15" s="24" t="n">
        <x:v>3</x:v>
      </x:c>
      <x:c r="H15" s="24" t="n">
        <x:f>F15*G15</x:f>
        <x:v>12</x:v>
      </x:c>
      <x:c r="I15" s="24" t="str">
        <x:f>IF(H15&lt;=5,"Low",IF(H15&lt;=10,"Medium",IF(H15&lt;=15,"High","Critical")))</x:f>
        <x:v>High</x:v>
      </x:c>
      <x:c r="J15" s="22" t="str">
        <x:v>IT provides laptops to staff.</x:v>
      </x:c>
      <x:c r="K15" s="22" t="str">
        <x:v>Device compliance status is not reviewed in one central place.</x:v>
      </x:c>
      <x:c r="L15" s="22" t="str">
        <x:v>IT Manager</x:v>
      </x:c>
      <x:c r="M15" s="22" t="str">
        <x:v>Track endpoint compliance and confirm encryption, patching, and endpoint protection status.</x:v>
      </x:c>
      <x:c r="N15" s="24" t="str">
        <x:v>Open</x:v>
      </x:c>
    </x:row>
    <x:row r="16" ht="60" customHeight="1">
      <x:c r="A16" s="24" t="str">
        <x:v>R-014</x:v>
      </x:c>
      <x:c r="B16" s="22" t="str">
        <x:v>Risk Management Process</x:v>
      </x:c>
      <x:c r="C16" s="22" t="str">
        <x:v>Governance</x:v>
      </x:c>
      <x:c r="D16" s="22" t="str">
        <x:v>Risk information is not maintained in one central risk register.</x:v>
      </x:c>
      <x:c r="E16" s="22" t="str">
        <x:v>Leadership may not have a clear view of the highest risks, owners, remediation progress, or overdue issues.</x:v>
      </x:c>
      <x:c r="F16" s="24" t="n">
        <x:v>4</x:v>
      </x:c>
      <x:c r="G16" s="24" t="n">
        <x:v>4</x:v>
      </x:c>
      <x:c r="H16" s="24" t="n">
        <x:f>F16*G16</x:f>
        <x:v>16</x:v>
      </x:c>
      <x:c r="I16" s="24" t="str">
        <x:f>IF(H16&lt;=5,"Low",IF(H16&lt;=10,"Medium",IF(H16&lt;=15,"High","Critical")))</x:f>
        <x:v>Critical</x:v>
      </x:c>
      <x:c r="J16" s="22" t="str">
        <x:v>Some risks are discussed in meetings or stored in separate documents.</x:v>
      </x:c>
      <x:c r="K16" s="22" t="str">
        <x:v>There is no centralized risk register with owners, ratings, treatment plans, and status.</x:v>
      </x:c>
      <x:c r="L16" s="22" t="str">
        <x:v>Senior Management / IT Manager</x:v>
      </x:c>
      <x:c r="M16" s="22" t="str">
        <x:v>Maintain a central risk register and review high risks with leadership monthly.</x:v>
      </x:c>
      <x:c r="N16" s="24" t="str">
        <x:v>Open</x:v>
      </x:c>
    </x:row>
    <x:row r="17" ht="60" customHeight="1">
      <x:c r="A17" s="24" t="str">
        <x:v>R-015</x:v>
      </x:c>
      <x:c r="B17" s="22" t="str">
        <x:v>Audit Evidence Collection Process</x:v>
      </x:c>
      <x:c r="C17" s="22" t="str">
        <x:v>IT Audit</x:v>
      </x:c>
      <x:c r="D17" s="22" t="str">
        <x:v>Audit evidence may not be collected consistently for key controls.</x:v>
      </x:c>
      <x:c r="E17" s="22" t="str">
        <x:v>The organization may struggle to prove that controls are working during audits or management reviews.</x:v>
      </x:c>
      <x:c r="F17" s="24" t="n">
        <x:v>4</x:v>
      </x:c>
      <x:c r="G17" s="24" t="n">
        <x:v>3</x:v>
      </x:c>
      <x:c r="H17" s="24" t="n">
        <x:f>F17*G17</x:f>
        <x:v>12</x:v>
      </x:c>
      <x:c r="I17" s="24" t="str">
        <x:f>IF(H17&lt;=5,"Low",IF(H17&lt;=10,"Medium",IF(H17&lt;=15,"High","Critical")))</x:f>
        <x:v>High</x:v>
      </x:c>
      <x:c r="J17" s="22" t="str">
        <x:v>Some evidence is saved by individual departments when requested.</x:v>
      </x:c>
      <x:c r="K17" s="22" t="str">
        <x:v>There is no standard evidence checklist or owner for each control area.</x:v>
      </x:c>
      <x:c r="L17" s="22" t="str">
        <x:v>IT Manager / Operations Manager</x:v>
      </x:c>
      <x:c r="M17" s="22" t="str">
        <x:v>Create an evidence checklist and assign owners for each key control.</x:v>
      </x:c>
      <x:c r="N17" s="24" t="str">
        <x:v>Open</x:v>
      </x:c>
    </x:row>
  </x:sheetData>
  <x:mergeCells>
    <x:mergeCell ref="A1:N1"/>
  </x:mergeCells>
  <x:conditionalFormatting sqref="I3:I50">
    <x:cfRule type="expression" dxfId="0" priority="1">
      <x:formula>I3="Critical"</x:formula>
    </x:cfRule>
    <x:cfRule type="expression" dxfId="1" priority="2">
      <x:formula>I3="High"</x:formula>
    </x:cfRule>
    <x:cfRule type="expression" dxfId="2" priority="3">
      <x:formula>I3="Medium"</x:formula>
    </x:cfRule>
    <x:cfRule type="expression" dxfId="3" priority="4">
      <x:formula>I3="Low"</x:formula>
    </x:cfRule>
  </x:conditionalFormatting>
  <x:conditionalFormatting sqref="N3:N50">
    <x:cfRule type="expression" dxfId="4" priority="5">
      <x:formula>N3="Open"</x:formula>
    </x:cfRule>
    <x:cfRule type="expression" dxfId="5" priority="6">
      <x:formula>N3="In Progress"</x:formula>
    </x:cfRule>
    <x:cfRule type="expression" dxfId="6" priority="7">
      <x:formula>N3="Closed"</x:formula>
    </x:cfRule>
  </x:conditionalFormatting>
  <x:dataValidations count="3">
    <x:dataValidation type="list" sqref="C3:C50">
      <x:formula1>"Access Control,Data Privacy,Third-Party Risk,Business Continuity,Incident Response,Patch Management,Security Awareness,Cloud/File Sharing,Governance,Endpoint Security,IT Audit"</x:formula1>
    </x:dataValidation>
    <x:dataValidation type="list" sqref="F3:G50">
      <x:formula1>"1,2,3,4,5"</x:formula1>
    </x:dataValidation>
    <x:dataValidation type="list" sqref="N3:N50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cc4f26efbe45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4" t="str">
        <x:v>Risk Scoring Guide</x:v>
      </x:c>
      <x:c r="B1" s="4"/>
      <x:c r="C1" s="4"/>
      <x:c r="D1" s="4"/>
    </x:row>
    <x:row r="3">
      <x:c r="A3" s="13" t="str">
        <x:v>Score</x:v>
      </x:c>
      <x:c r="B3" s="13" t="str">
        <x:v>Impact Meaning</x:v>
      </x:c>
      <x:c r="C3" s="13" t="str">
        <x:v>Likelihood Meaning</x:v>
      </x:c>
      <x:c r="D3" s="20"/>
      <x:c r="E3" s="13" t="str">
        <x:v>Score Range</x:v>
      </x:c>
      <x:c r="F3" s="13" t="str">
        <x:v>Risk Rating</x:v>
      </x:c>
    </x:row>
    <x:row r="4">
      <x:c r="A4" s="20" t="n">
        <x:v>1</x:v>
      </x:c>
      <x:c r="B4" s="20" t="str">
        <x:v>Very low business impact</x:v>
      </x:c>
      <x:c r="C4" s="20" t="str">
        <x:v>Very unlikely</x:v>
      </x:c>
      <x:c r="D4" s="20"/>
      <x:c r="E4" s="20" t="str">
        <x:v>1-5</x:v>
      </x:c>
      <x:c r="F4" s="20" t="str">
        <x:v>Low</x:v>
      </x:c>
    </x:row>
    <x:row r="5">
      <x:c r="A5" s="20" t="n">
        <x:v>2</x:v>
      </x:c>
      <x:c r="B5" s="20" t="str">
        <x:v>Low business impact</x:v>
      </x:c>
      <x:c r="C5" s="20" t="str">
        <x:v>Unlikely</x:v>
      </x:c>
      <x:c r="D5" s="20"/>
      <x:c r="E5" s="20" t="str">
        <x:v>6-10</x:v>
      </x:c>
      <x:c r="F5" s="20" t="str">
        <x:v>Medium</x:v>
      </x:c>
    </x:row>
    <x:row r="6">
      <x:c r="A6" s="20" t="n">
        <x:v>3</x:v>
      </x:c>
      <x:c r="B6" s="20" t="str">
        <x:v>Moderate business impact</x:v>
      </x:c>
      <x:c r="C6" s="20" t="str">
        <x:v>Possible</x:v>
      </x:c>
      <x:c r="D6" s="20"/>
      <x:c r="E6" s="20" t="str">
        <x:v>11-15</x:v>
      </x:c>
      <x:c r="F6" s="20" t="str">
        <x:v>High</x:v>
      </x:c>
    </x:row>
    <x:row r="7">
      <x:c r="A7" s="20" t="n">
        <x:v>4</x:v>
      </x:c>
      <x:c r="B7" s="20" t="str">
        <x:v>High business impact</x:v>
      </x:c>
      <x:c r="C7" s="20" t="str">
        <x:v>Likely</x:v>
      </x:c>
      <x:c r="D7" s="20"/>
      <x:c r="E7" s="20" t="str">
        <x:v>16-25</x:v>
      </x:c>
      <x:c r="F7" s="20" t="str">
        <x:v>Critical</x:v>
      </x:c>
    </x:row>
    <x:row r="8">
      <x:c r="A8" s="20" t="n">
        <x:v>5</x:v>
      </x:c>
      <x:c r="B8" s="20" t="str">
        <x:v>Critical business impact</x:v>
      </x:c>
      <x:c r="C8" s="20" t="str">
        <x:v>Very likely</x:v>
      </x:c>
      <x:c r="D8" s="20"/>
      <x:c r="E8" s="20"/>
      <x:c r="F8" s="20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4" t="str">
        <x:v>Notes - Risk Register</x:v>
      </x:c>
      <x:c r="B1" s="4"/>
      <x:c r="C1" s="4"/>
      <x:c r="D1" s="4"/>
      <x:c r="E1" s="4"/>
    </x:row>
    <x:row r="3" ht="45" customHeight="1">
      <x:c r="A3" s="30" t="str">
        <x:v>Purpose</x:v>
      </x:c>
      <x:c r="B3" s="20" t="str">
        <x:v>This risk register documents key IT, cybersecurity, vendor, privacy, and operational risks for MapleCare Health Services.</x:v>
      </x:c>
    </x:row>
    <x:row r="4" ht="45" customHeight="1">
      <x:c r="A4" s="30" t="str">
        <x:v>Method</x:v>
      </x:c>
      <x:c r="B4" s="20" t="str">
        <x:v>Each risk is connected to an asset or process from the IT Asset and Process Inventory. The risk score is calculated using impact multiplied by likelihood.</x:v>
      </x:c>
    </x:row>
    <x:row r="5" ht="45" customHeight="1">
      <x:c r="A5" s="30" t="str">
        <x:v>Human judgement</x:v>
      </x:c>
      <x:c r="B5" s="20" t="str">
        <x:v>For this home lab, scoring is based on the sensitivity of data, business criticality, likely exposure, and the strength or weakness of existing controls.</x:v>
      </x:c>
    </x:row>
    <x:row r="6" ht="45" customHeight="1">
      <x:c r="A6" s="30" t="str">
        <x:v>Real-world sources</x:v>
      </x:c>
      <x:c r="B6" s="20" t="str">
        <x:v>In a real company, risk information would come from interviews, audit findings, IT reports, policy reviews, incident records, vendor assessments, and system evidence.</x:v>
      </x:c>
    </x:row>
    <x:row r="7" ht="45" customHeight="1">
      <x:c r="A7" s="30" t="str">
        <x:v>Next step</x:v>
      </x:c>
      <x:c r="B7" s="20" t="str">
        <x:v>This risk register will support control mapping, evidence planning, remediation tracking, and dashboard reporting.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Risk Register Summary</x:v>
      </x:c>
      <x:c r="B1" s="4"/>
      <x:c r="C1" s="4"/>
      <x:c r="D1" s="4"/>
      <x:c r="E1" s="4"/>
      <x:c r="F1" s="4"/>
    </x:row>
    <x:row r="3">
      <x:c r="A3" s="26" t="str">
        <x:v>Metric</x:v>
      </x:c>
      <x:c r="B3" s="26" t="str">
        <x:v>Value</x:v>
      </x:c>
      <x:c r="D3" s="26" t="str">
        <x:v>Rating</x:v>
      </x:c>
      <x:c r="E3" s="26" t="str">
        <x:v>Count</x:v>
      </x:c>
    </x:row>
    <x:row r="4">
      <x:c r="A4" t="str">
        <x:v>Total Risks</x:v>
      </x:c>
      <x:c r="B4" s="34" t="n">
        <x:f>COUNTA(Risk_Register!A3:A17)</x:f>
        <x:v>15</x:v>
      </x:c>
      <x:c r="D4" t="str">
        <x:v>Critical</x:v>
      </x:c>
      <x:c r="E4" s="34" t="n">
        <x:f>COUNTIF(Risk_Register!I3:I17,D4)</x:f>
        <x:v>4</x:v>
      </x:c>
    </x:row>
    <x:row r="5">
      <x:c r="A5" t="str">
        <x:v>Critical Risks</x:v>
      </x:c>
      <x:c r="B5" s="34" t="n">
        <x:f>COUNTIF(Risk_Register!I3:I17,"Critical")</x:f>
        <x:v>4</x:v>
      </x:c>
      <x:c r="D5" t="str">
        <x:v>High</x:v>
      </x:c>
      <x:c r="E5" s="34" t="n">
        <x:f>COUNTIF(Risk_Register!I3:I17,D5)</x:f>
        <x:v>10</x:v>
      </x:c>
    </x:row>
    <x:row r="6">
      <x:c r="A6" t="str">
        <x:v>High Risks</x:v>
      </x:c>
      <x:c r="B6" s="34" t="n">
        <x:f>COUNTIF(Risk_Register!I3:I17,"High")</x:f>
        <x:v>10</x:v>
      </x:c>
      <x:c r="D6" t="str">
        <x:v>Medium</x:v>
      </x:c>
      <x:c r="E6" s="34" t="n">
        <x:f>COUNTIF(Risk_Register!I3:I17,D6)</x:f>
        <x:v>1</x:v>
      </x:c>
    </x:row>
    <x:row r="7">
      <x:c r="A7" t="str">
        <x:v>Open Risks</x:v>
      </x:c>
      <x:c r="B7" s="34" t="n">
        <x:f>COUNTIF(Risk_Register!N3:N17,"Open")</x:f>
        <x:v>15</x:v>
      </x:c>
      <x:c r="D7" t="str">
        <x:v>Low</x:v>
      </x:c>
      <x:c r="E7" s="34" t="n">
        <x:f>COUNTIF(Risk_Register!I3:I17,D7)</x:f>
        <x:v>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9cbc66de24f84ac7"/>
</x:worksheet>
</file>